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surajsingh/Documents/cowork_folder/"/>
    </mc:Choice>
  </mc:AlternateContent>
  <xr:revisionPtr revIDLastSave="0" documentId="13_ncr:1_{D8FF8733-5D7E-F34A-8721-FC4D36618A5B}" xr6:coauthVersionLast="47" xr6:coauthVersionMax="47" xr10:uidLastSave="{00000000-0000-0000-0000-000000000000}"/>
  <bookViews>
    <workbookView xWindow="0" yWindow="660" windowWidth="29400" windowHeight="17160" activeTab="2" xr2:uid="{00000000-000D-0000-FFFF-FFFF00000000}"/>
  </bookViews>
  <sheets>
    <sheet name="Nirmal" sheetId="1" r:id="rId1"/>
    <sheet name="Amarai" sheetId="2" r:id="rId2"/>
    <sheet name="Vendors" sheetId="3" r:id="rId3"/>
    <sheet name="Deeplaxmie Events" sheetId="4" r:id="rId4"/>
    <sheet name="Nirmal's Executive" sheetId="5" r:id="rId5"/>
  </sheets>
  <definedNames>
    <definedName name="_xlnm._FilterDatabase" localSheetId="2" hidden="1">Vendors!$A$3:$Q$18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3" l="1"/>
  <c r="B23" i="3" s="1"/>
  <c r="I19" i="3"/>
  <c r="B22" i="3" s="1"/>
  <c r="K18" i="3"/>
  <c r="O18" i="3" s="1"/>
  <c r="O17" i="3"/>
  <c r="K17" i="3"/>
  <c r="O16" i="3"/>
  <c r="K16" i="3"/>
  <c r="O15" i="3"/>
  <c r="K15" i="3"/>
  <c r="O14" i="3"/>
  <c r="K14" i="3"/>
  <c r="O13" i="3"/>
  <c r="K13" i="3"/>
  <c r="O12" i="3"/>
  <c r="K12" i="3"/>
  <c r="O11" i="3"/>
  <c r="K11" i="3"/>
  <c r="O10" i="3"/>
  <c r="K10" i="3"/>
  <c r="O9" i="3"/>
  <c r="K9" i="3"/>
  <c r="O8" i="3"/>
  <c r="K8" i="3"/>
  <c r="O7" i="3"/>
  <c r="K7" i="3"/>
  <c r="O6" i="3"/>
  <c r="K6" i="3"/>
  <c r="O5" i="3"/>
  <c r="K5" i="3"/>
  <c r="K4" i="3"/>
  <c r="O4" i="3" s="1"/>
  <c r="F39" i="2"/>
  <c r="D39" i="2"/>
  <c r="G37" i="2"/>
  <c r="G39" i="2" s="1"/>
  <c r="F37" i="2"/>
  <c r="E37" i="2"/>
  <c r="E39" i="2" s="1"/>
  <c r="D37" i="2"/>
  <c r="C37" i="2"/>
  <c r="C39" i="2" s="1"/>
  <c r="B18" i="2"/>
  <c r="H43" i="1"/>
  <c r="H45" i="1" s="1"/>
  <c r="G43" i="1"/>
  <c r="G45" i="1" s="1"/>
  <c r="F43" i="1"/>
  <c r="F45" i="1" s="1"/>
  <c r="E43" i="1"/>
  <c r="E45" i="1" s="1"/>
  <c r="D43" i="1"/>
  <c r="D45" i="1" s="1"/>
  <c r="C43" i="1"/>
  <c r="C45" i="1" s="1"/>
  <c r="B18" i="1"/>
  <c r="D24" i="5"/>
  <c r="C19" i="5"/>
  <c r="D25" i="5" s="1"/>
  <c r="B19" i="5"/>
  <c r="B27" i="3" l="1"/>
  <c r="B26" i="3"/>
  <c r="B25" i="3"/>
  <c r="K19" i="3"/>
  <c r="B24" i="3" s="1"/>
</calcChain>
</file>

<file path=xl/sharedStrings.xml><?xml version="1.0" encoding="utf-8"?>
<sst xmlns="http://schemas.openxmlformats.org/spreadsheetml/2006/main" count="246" uniqueCount="161">
  <si>
    <t>NIRMAL'S EXECUTIVE — HOTEL COST DETAIL</t>
  </si>
  <si>
    <t>+91 93091 74167  |  Sr No 40,2, Classic Gloria, near Angraj Dhaba, Yewalewadi, Sinhgad Kondwa, Danny Mehata Nagar, Kondhwa Budruk, Pune, Maharashtra 411048, India</t>
  </si>
  <si>
    <t>REFERENCE / DETAIL VIEW. The hotel is tracked as ONE row on the Vendors sheet (row 19) and its 84,000 / 25,000 are included in the Vendors TOTAL. This sheet only breaks the cost down — it does not add to the totals a second time.</t>
  </si>
  <si>
    <t>BOOKING</t>
  </si>
  <si>
    <t>Check-in</t>
  </si>
  <si>
    <t>08-Dec-2026</t>
  </si>
  <si>
    <t>Check-out</t>
  </si>
  <si>
    <t>14-Dec-2026</t>
  </si>
  <si>
    <t>Total rooms</t>
  </si>
  <si>
    <t>Total room-nights</t>
  </si>
  <si>
    <t>ROOM-NIGHT PLAN</t>
  </si>
  <si>
    <t>Date</t>
  </si>
  <si>
    <t>Rooms</t>
  </si>
  <si>
    <t>Room-nights</t>
  </si>
  <si>
    <t>08-Dec</t>
  </si>
  <si>
    <t>09-Dec</t>
  </si>
  <si>
    <t>10-Dec</t>
  </si>
  <si>
    <t>11-Dec</t>
  </si>
  <si>
    <t>12-Dec</t>
  </si>
  <si>
    <t>13-Dec</t>
  </si>
  <si>
    <t>TOTAL</t>
  </si>
  <si>
    <t>COST</t>
  </si>
  <si>
    <t>Amount quoted</t>
  </si>
  <si>
    <t>Amount paid</t>
  </si>
  <si>
    <t>Balance due</t>
  </si>
  <si>
    <t>Average per room-night (derived)</t>
  </si>
  <si>
    <t>Sanity check only: 84,000 ÷ 37 room-nights = 2,270.27 on average. This is a derived average, not a per-night rate the hotel quoted — confirm the actual rate and any taxes or extras with them before paying the balance.</t>
  </si>
  <si>
    <t>CONTACT</t>
  </si>
  <si>
    <t>Google rating</t>
  </si>
  <si>
    <t>4,792 reviews</t>
  </si>
  <si>
    <t>Phone</t>
  </si>
  <si>
    <t>+91 93091 74167</t>
  </si>
  <si>
    <t>Address</t>
  </si>
  <si>
    <t>Sr No 40,2, Classic Gloria, near Angraj Dhaba, Yewalewadi, Sinhgad Kondwa, Danny Mehata Nagar, Kondhwa Budruk, Pune, Maharashtra 411048, India</t>
  </si>
  <si>
    <t>Room-by-night allocation grid is on the Nirmal sheet. Payment status, UTR and balance on the Vendors sheet.</t>
  </si>
  <si>
    <t>NIRMAL — ROOM PLAN BY NIGHT</t>
  </si>
  <si>
    <t>Check-in 08-Dec-2026  |  Check-out 14-Dec-2026  |  10 rooms peak</t>
  </si>
  <si>
    <t>ROOMS NEEDED PER NIGHT</t>
  </si>
  <si>
    <t>ROOM ALLOCATION GRID</t>
  </si>
  <si>
    <t>Room</t>
  </si>
  <si>
    <t>09-Dec-2026</t>
  </si>
  <si>
    <t>10-Dec-2026</t>
  </si>
  <si>
    <t>11-Dec-2026</t>
  </si>
  <si>
    <t>12-Dec-2026</t>
  </si>
  <si>
    <t>13-Dec-2026</t>
  </si>
  <si>
    <t>Notes</t>
  </si>
  <si>
    <t>Room 1 - Guest 1</t>
  </si>
  <si>
    <t>Room 2 - Guest 1</t>
  </si>
  <si>
    <t>Room 3 - Guest 1</t>
  </si>
  <si>
    <t>Room 4 - Guest 1</t>
  </si>
  <si>
    <t>Room 5 - Guest 1</t>
  </si>
  <si>
    <t>Room 6 - Guest 1</t>
  </si>
  <si>
    <t>Room 7 - Guest 1</t>
  </si>
  <si>
    <t>Room 8 - Guest 1</t>
  </si>
  <si>
    <t>Room 9 - Guest 1</t>
  </si>
  <si>
    <t>Room 10 - Guest 1</t>
  </si>
  <si>
    <t>SECOND GUEST PER ROOM  -  only fill this block if two people share the room. FILLED counts occupied ROOMS, not guest names.</t>
  </si>
  <si>
    <t>Room 1 - Guest 2</t>
  </si>
  <si>
    <t>Room 2 - Guest 2</t>
  </si>
  <si>
    <t>Room 3 - Guest 2</t>
  </si>
  <si>
    <t>Room 4 - Guest 2</t>
  </si>
  <si>
    <t>Room 5 - Guest 2</t>
  </si>
  <si>
    <t>Room 6 - Guest 2</t>
  </si>
  <si>
    <t>Room 7 - Guest 2</t>
  </si>
  <si>
    <t>Room 8 - Guest 2</t>
  </si>
  <si>
    <t>Room 9 - Guest 2</t>
  </si>
  <si>
    <t>Room 10 - Guest 2</t>
  </si>
  <si>
    <t>FILLED</t>
  </si>
  <si>
    <t>NEEDED</t>
  </si>
  <si>
    <t>STATUS</t>
  </si>
  <si>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</si>
  <si>
    <t>Give this grid to the front desk on arrival. Hand out room keys against the names you typed.</t>
  </si>
  <si>
    <t>Two guests in one room?  Put the first name in the 'Guest 1' row and the second in the 'Guest 2' row for that same night. Both rows belong to the same room, so it still counts as one room against NEEDED.</t>
  </si>
  <si>
    <t>Check-out is 14-Dec-2026. 13-Dec is the last night and only 2 rooms are needed, so release the other 8 rooms after checkout on 13-Dec.</t>
  </si>
  <si>
    <t>AMARAI — ROOM PLAN BY NIGHT</t>
  </si>
  <si>
    <t>Check-in 08-Dec-2026  |  Check-out 12-Dec-2026 at 12:30 PM  |  7 rooms peak</t>
  </si>
  <si>
    <t>Checkout time</t>
  </si>
  <si>
    <t>12:30 PM</t>
  </si>
  <si>
    <t>Checkout is 12-Dec at 12:30 PM, so 12-Dec needs 0 rooms overnight. Rooms 1-7 are held for the nights of 08, 09, 10 and 11 Dec only.</t>
  </si>
  <si>
    <t>Ask the front desk to release all 7 rooms on 12-Dec at 12:30 PM. Only 2 of the 7 rooms are actually needed on the night of 08-Dec.</t>
  </si>
  <si>
    <t>VENDOR CONTACTS &amp; PAYMENTS</t>
  </si>
  <si>
    <t>Vendor / Category</t>
  </si>
  <si>
    <t>Contact Person</t>
  </si>
  <si>
    <t>WhatsApp</t>
  </si>
  <si>
    <t>Email</t>
  </si>
  <si>
    <t>Event</t>
  </si>
  <si>
    <t>Event Date</t>
  </si>
  <si>
    <t>Amount Quoted</t>
  </si>
  <si>
    <t>Amount Paid</t>
  </si>
  <si>
    <t>Balance</t>
  </si>
  <si>
    <t>Payment Mode</t>
  </si>
  <si>
    <t>UTR / Ref</t>
  </si>
  <si>
    <t>Paid On</t>
  </si>
  <si>
    <t>Status</t>
  </si>
  <si>
    <t>Quote PDF</t>
  </si>
  <si>
    <t>Band / Baraat &amp; DJ &amp; Sound System</t>
  </si>
  <si>
    <t>Deeplaxmie Events</t>
  </si>
  <si>
    <t>8605622211</t>
  </si>
  <si>
    <t>Raviwar Peth, Moti Chowk, Pune 411002</t>
  </si>
  <si>
    <t>Baraat</t>
  </si>
  <si>
    <t>Invoice 284</t>
  </si>
  <si>
    <t>Open PDF</t>
  </si>
  <si>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</si>
  <si>
    <t>Tent &amp; Banquet Hall</t>
  </si>
  <si>
    <t>Sangeet + Reception</t>
  </si>
  <si>
    <t>Flower Decoration</t>
  </si>
  <si>
    <t>All events</t>
  </si>
  <si>
    <t>Photography</t>
  </si>
  <si>
    <t>Wedding</t>
  </si>
  <si>
    <t>Videography</t>
  </si>
  <si>
    <t>Catering (Food)</t>
  </si>
  <si>
    <t>Sangeet, Reception, Brunch</t>
  </si>
  <si>
    <t>Pandit / Purohit</t>
  </si>
  <si>
    <t>Wedding Ceremony</t>
  </si>
  <si>
    <t>Makeup &amp; Mehendi</t>
  </si>
  <si>
    <t>Mehendi</t>
  </si>
  <si>
    <t>Stage &amp; Seating</t>
  </si>
  <si>
    <t>Sangeet + Wedding</t>
  </si>
  <si>
    <t>Transport / Cars</t>
  </si>
  <si>
    <t>Return Gifts / Favours</t>
  </si>
  <si>
    <t>Reception</t>
  </si>
  <si>
    <t>Haldi &amp; Mehendi Items</t>
  </si>
  <si>
    <t>Haldi</t>
  </si>
  <si>
    <t>Sangeet Anchoring / Choreography</t>
  </si>
  <si>
    <t>Sangeet Night</t>
  </si>
  <si>
    <t>Other / Miscellaneous</t>
  </si>
  <si>
    <t>Hotel - Nirmal's Executive</t>
  </si>
  <si>
    <t>Accommodation 08-14 Dec</t>
  </si>
  <si>
    <t>PAYMENT SUMMARY</t>
  </si>
  <si>
    <t>Total quoted</t>
  </si>
  <si>
    <t>Total paid</t>
  </si>
  <si>
    <t>Total outstanding</t>
  </si>
  <si>
    <t>Vendors still pending</t>
  </si>
  <si>
    <t>Vendors fully paid</t>
  </si>
  <si>
    <t>Not quoted yet</t>
  </si>
  <si>
    <t>Status is automatic:  no amount yet -&gt; Not Quoted  |  balance cleared -&gt; Paid  |  balance left -&gt; Pending.  Filter column O to see who still owes money.</t>
  </si>
  <si>
    <t>Quote PDF links to the invoice file. Drop new invoices in the 'Vendor PDFs' folder next to this workbook and link them the same way. Keep the folder together with the workbook or the links break.</t>
  </si>
  <si>
    <t>Invoice terms for each vendor are on that vendor's own sheet, e.g. 'Deeplaxmie Events'.</t>
  </si>
  <si>
    <t>Rule: one row per vendor.  Never split one invoice into several vendor rows - if a single invoice covers DJ, sound, lighting and generator, all of it belongs in that one vendor's row and that one total.  Add a new row only for a genuinely new vendor.</t>
  </si>
  <si>
    <t>Extracted invoice line items live on that vendor's own sheet - one sheet per vendor.</t>
  </si>
  <si>
    <t>BAND / BARAAT — INVOICE 284 BREAKDOWN (Deeplaxmie Events, 11-Dec-2026, 7:00-10:00 PM)</t>
  </si>
  <si>
    <t>Band / Baraat &amp; DJ &amp; Sound System  |  11-Dec-2026, 7:00-10:00 PM  |  Raviwar Peth, Moti Chowk, Pune 411002  |  8605622211</t>
  </si>
  <si>
    <t>REFERENCE ONLY. These figures do not feed the Vendors sheet. The whole invoice is tracked as ONE vendor row (Vendors row 5) so nothing is double counted.</t>
  </si>
  <si>
    <t>INVOICE LINE ITEMS</t>
  </si>
  <si>
    <t>Item</t>
  </si>
  <si>
    <t>Qty</t>
  </si>
  <si>
    <t>Unit price</t>
  </si>
  <si>
    <t>Total</t>
  </si>
  <si>
    <t>Baraat DJ Truck</t>
  </si>
  <si>
    <t>Light Chatri</t>
  </si>
  <si>
    <t>Punjabhi Dhol</t>
  </si>
  <si>
    <t>Sub Total</t>
  </si>
  <si>
    <t>Less: Discounts</t>
  </si>
  <si>
    <t>Advance paid</t>
  </si>
  <si>
    <t>INVOICE TERMS</t>
  </si>
  <si>
    <t>Invoice 284 terms: advance is non-refundable, balance must clear before or on event day prior to setup, crowd damage is chargeable, extra hours are billed extra.</t>
  </si>
  <si>
    <t>QUOTE / INVOICE PDF</t>
  </si>
  <si>
    <t>Vendor totals and payment status live on the Vendors sheet - this sheet is the itemised source of the 41,000.</t>
  </si>
  <si>
    <t>hello</t>
  </si>
  <si>
    <t>‪+91 93091 74167‬</t>
  </si>
  <si>
    <t>Nirmal Reception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</si>
</sst>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14" x14ac:knownFonts="1">
    <font>
      <sz val="11"/>
      <color theme="1"/>
      <name val="Calibri"/>
      <family val="2"/>
      <scheme val="minor"/>
    </font>
    <font>
      <b/>
      <sz val="16"/>
      <color rgb="FF1F3864"/>
      <name val="Calibri"/>
      <family val="2"/>
    </font>
    <font>
      <i/>
      <sz val="10"/>
      <color rgb="FF595959"/>
      <name val="Calibri"/>
      <family val="2"/>
    </font>
    <font>
      <b/>
      <sz val="11"/>
      <color rgb="FFFFFFFF"/>
      <name val="Calibri"/>
      <family val="2"/>
    </font>
    <font>
      <b/>
      <sz val="10"/>
      <name val="Calibri"/>
      <family val="2"/>
    </font>
    <font>
      <sz val="10"/>
      <name val="Calibri"/>
      <family val="2"/>
    </font>
    <font>
      <b/>
      <sz val="10"/>
      <color rgb="FFFFFFFF"/>
      <name val="Calibri"/>
      <family val="2"/>
    </font>
    <font>
      <b/>
      <sz val="10"/>
      <color rgb="FF1F3864"/>
      <name val="Calibri"/>
      <family val="2"/>
    </font>
    <font>
      <i/>
      <sz val="9"/>
      <color rgb="FF595959"/>
      <name val="Calibri"/>
      <family val="2"/>
    </font>
    <font>
      <u/>
      <sz val="10"/>
      <color rgb="FF0563C1"/>
      <name val="Calibri"/>
      <family val="2"/>
    </font>
    <font>
      <sz val="10"/>
      <name val="Calibri"/>
      <family val="2"/>
    </font>
    <font>
      <b/>
      <sz val="10"/>
      <name val="Calibri"/>
    </font>
    <font>
      <u/>
      <sz val="10"/>
      <color rgb="FF0563C1"/>
      <name val="Calibri"/>
    </font>
    <font>
      <sz val="10"/>
      <name val="Calibri"/>
      <family val="2"/>
      <scheme val="minor"/>
    </font>
  </fonts>
  <fills count="9">
    <fill>
      <patternFill patternType="none"/>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4">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s>
  <cellStyleXfs count="1">
    <xf numFmtId="0" fontId="0" fillId="0" borderId="0"/>
  </cellStyleXfs>
  <cellXfs count="58">
    <xf numFmtId="0" fontId="0" fillId="0" borderId="0" xfId="0"/>
    <xf numFmtId="0" fontId="1" fillId="0" borderId="0" xfId="0" applyFont="1"/>
    <xf numFmtId="0" fontId="2" fillId="0" borderId="0" xfId="0" applyFont="1"/>
    <xf numFmtId="0" fontId="4" fillId="0" borderId="1" xfId="0" applyFont="1" applyBorder="1"/>
    <xf numFmtId="0" fontId="5" fillId="0" borderId="1" xfId="0" applyFont="1" applyBorder="1" applyAlignment="1">
      <alignment horizontal="center" vertical="center"/>
    </xf>
    <xf numFmtId="0" fontId="6" fillId="3" borderId="1" xfId="0" applyFont="1" applyFill="1" applyBorder="1" applyAlignment="1">
      <alignment horizontal="center" vertical="center"/>
    </xf>
    <xf numFmtId="0" fontId="5" fillId="4" borderId="1" xfId="0" applyFont="1" applyFill="1" applyBorder="1" applyAlignment="1">
      <alignment horizontal="center" vertical="center"/>
    </xf>
    <xf numFmtId="0" fontId="7" fillId="5" borderId="1" xfId="0" applyFont="1" applyFill="1" applyBorder="1" applyAlignment="1">
      <alignment horizontal="center" vertical="center"/>
    </xf>
    <xf numFmtId="0" fontId="6" fillId="3" borderId="1" xfId="0" applyFont="1" applyFill="1" applyBorder="1"/>
    <xf numFmtId="0" fontId="5" fillId="6" borderId="1" xfId="0" applyFont="1" applyFill="1" applyBorder="1" applyAlignment="1">
      <alignment horizontal="center" vertical="center"/>
    </xf>
    <xf numFmtId="0" fontId="8" fillId="0" borderId="1" xfId="0" applyFont="1" applyBorder="1" applyAlignment="1">
      <alignment vertical="top" wrapText="1"/>
    </xf>
    <xf numFmtId="1" fontId="5" fillId="5" borderId="1" xfId="0" applyNumberFormat="1" applyFont="1" applyFill="1" applyBorder="1" applyAlignment="1">
      <alignment horizontal="center" vertical="center"/>
    </xf>
    <xf numFmtId="0" fontId="6" fillId="3" borderId="1" xfId="0" applyFont="1" applyFill="1" applyBorder="1" applyAlignment="1">
      <alignment horizontal="center" vertical="center" wrapText="1"/>
    </xf>
    <xf numFmtId="0" fontId="4" fillId="0" borderId="1" xfId="0" applyFont="1" applyBorder="1" applyAlignment="1">
      <alignment vertical="top" wrapText="1"/>
    </xf>
    <xf numFmtId="0" fontId="5" fillId="0" borderId="1" xfId="0" applyFont="1" applyBorder="1" applyAlignment="1">
      <alignment horizontal="left" vertical="center"/>
    </xf>
    <xf numFmtId="49" fontId="5" fillId="0" borderId="1" xfId="0" applyNumberFormat="1" applyFont="1" applyBorder="1" applyAlignment="1">
      <alignment horizontal="left" vertical="center"/>
    </xf>
    <xf numFmtId="0" fontId="5" fillId="0" borderId="1" xfId="0" applyFont="1" applyBorder="1" applyAlignment="1">
      <alignment vertical="top" wrapText="1"/>
    </xf>
    <xf numFmtId="3" fontId="5" fillId="0" borderId="1" xfId="0" applyNumberFormat="1" applyFont="1" applyBorder="1" applyAlignment="1">
      <alignment horizontal="left" vertical="center"/>
    </xf>
    <xf numFmtId="164" fontId="5" fillId="0" borderId="1" xfId="0" applyNumberFormat="1" applyFont="1" applyBorder="1" applyAlignment="1">
      <alignment horizontal="left" vertical="center"/>
    </xf>
    <xf numFmtId="0" fontId="9" fillId="0" borderId="1" xfId="0" applyFont="1" applyBorder="1" applyAlignment="1">
      <alignment vertical="top" wrapText="1"/>
    </xf>
    <xf numFmtId="0" fontId="4" fillId="7" borderId="1" xfId="0" applyFont="1" applyFill="1" applyBorder="1" applyAlignment="1">
      <alignment vertical="top" wrapText="1"/>
    </xf>
    <xf numFmtId="0" fontId="0" fillId="6" borderId="1" xfId="0" applyFill="1" applyBorder="1" applyAlignment="1">
      <alignment horizontal="left" vertical="center"/>
    </xf>
    <xf numFmtId="49" fontId="0" fillId="6" borderId="1" xfId="0" applyNumberFormat="1" applyFill="1" applyBorder="1" applyAlignment="1">
      <alignment horizontal="left" vertical="center"/>
    </xf>
    <xf numFmtId="49" fontId="5" fillId="6" borderId="1" xfId="0" applyNumberFormat="1" applyFont="1" applyFill="1" applyBorder="1" applyAlignment="1">
      <alignment horizontal="left" vertical="center"/>
    </xf>
    <xf numFmtId="0" fontId="5" fillId="6" borderId="1" xfId="0" applyFont="1" applyFill="1" applyBorder="1" applyAlignment="1">
      <alignment horizontal="left" vertical="center"/>
    </xf>
    <xf numFmtId="0" fontId="0" fillId="6" borderId="1" xfId="0" applyFill="1" applyBorder="1" applyAlignment="1">
      <alignment vertical="top" wrapText="1"/>
    </xf>
    <xf numFmtId="0" fontId="5" fillId="7" borderId="1" xfId="0" applyFont="1" applyFill="1" applyBorder="1" applyAlignment="1">
      <alignment vertical="top" wrapText="1"/>
    </xf>
    <xf numFmtId="0" fontId="5" fillId="7" borderId="1" xfId="0" applyFont="1" applyFill="1" applyBorder="1" applyAlignment="1">
      <alignment horizontal="left" vertical="center"/>
    </xf>
    <xf numFmtId="3" fontId="0" fillId="6" borderId="1" xfId="0" applyNumberFormat="1" applyFill="1" applyBorder="1" applyAlignment="1">
      <alignment horizontal="left" vertical="center"/>
    </xf>
    <xf numFmtId="3" fontId="5" fillId="7" borderId="1" xfId="0" applyNumberFormat="1" applyFont="1" applyFill="1" applyBorder="1" applyAlignment="1">
      <alignment horizontal="left" vertical="center"/>
    </xf>
    <xf numFmtId="164" fontId="5" fillId="6" borderId="1" xfId="0" applyNumberFormat="1" applyFont="1" applyFill="1" applyBorder="1" applyAlignment="1">
      <alignment horizontal="left" vertical="center"/>
    </xf>
    <xf numFmtId="0" fontId="7" fillId="5" borderId="1" xfId="0" applyFont="1" applyFill="1" applyBorder="1"/>
    <xf numFmtId="0" fontId="0" fillId="5" borderId="1" xfId="0" applyFill="1" applyBorder="1"/>
    <xf numFmtId="3" fontId="7" fillId="5" borderId="1" xfId="0" applyNumberFormat="1" applyFont="1" applyFill="1" applyBorder="1"/>
    <xf numFmtId="3" fontId="5" fillId="0" borderId="1" xfId="0" applyNumberFormat="1" applyFont="1" applyBorder="1" applyAlignment="1">
      <alignment horizontal="center" vertical="center"/>
    </xf>
    <xf numFmtId="1" fontId="5" fillId="0" borderId="1" xfId="0" applyNumberFormat="1" applyFont="1" applyBorder="1" applyAlignment="1">
      <alignment horizontal="center" vertical="center"/>
    </xf>
    <xf numFmtId="0" fontId="7" fillId="5" borderId="1" xfId="0" applyFont="1" applyFill="1" applyBorder="1" applyAlignment="1">
      <alignment horizontal="left" vertical="center"/>
    </xf>
    <xf numFmtId="3" fontId="7" fillId="5" borderId="1" xfId="0" applyNumberFormat="1" applyFont="1" applyFill="1" applyBorder="1" applyAlignment="1">
      <alignment horizontal="center" vertical="center"/>
    </xf>
    <xf numFmtId="0" fontId="4" fillId="0" borderId="2" xfId="0" applyFont="1" applyBorder="1" applyAlignment="1">
      <alignment horizontal="left" vertical="center" wrapText="1"/>
    </xf>
    <xf numFmtId="49" fontId="10" fillId="6" borderId="2" xfId="0" applyNumberFormat="1" applyFont="1" applyFill="1" applyBorder="1" applyAlignment="1">
      <alignment horizontal="left" vertical="center"/>
    </xf>
    <xf numFmtId="0" fontId="10" fillId="6" borderId="2" xfId="0" applyFont="1" applyFill="1" applyBorder="1" applyAlignment="1">
      <alignment horizontal="left" vertical="center" wrapText="1"/>
    </xf>
    <xf numFmtId="0" fontId="10" fillId="0" borderId="2" xfId="0" applyFont="1" applyBorder="1" applyAlignment="1">
      <alignment horizontal="left" vertical="center" wrapText="1"/>
    </xf>
    <xf numFmtId="0" fontId="8" fillId="0" borderId="0" xfId="0" applyFont="1" applyAlignment="1">
      <alignment vertical="top" wrapText="1"/>
    </xf>
    <xf numFmtId="0" fontId="3" fillId="2" borderId="0" xfId="0" applyFont="1" applyFill="1" applyAlignment="1">
      <alignment horizontal="left" vertical="center"/>
    </xf>
    <xf numFmtId="3" fontId="11" fillId="5" borderId="1" xfId="0" applyNumberFormat="1" applyFont="1" applyFill="1" applyBorder="1" applyAlignment="1">
      <alignment horizontal="center" vertical="center"/>
    </xf>
    <xf numFmtId="0" fontId="12" fillId="0" borderId="1" xfId="0" applyFont="1" applyBorder="1" applyAlignment="1">
      <alignment horizontal="left" vertical="center"/>
    </xf>
    <xf numFmtId="0" fontId="10" fillId="6" borderId="2" xfId="0" applyFont="1" applyFill="1" applyBorder="1" applyAlignment="1">
      <alignment vertical="center" wrapText="1"/>
    </xf>
    <xf numFmtId="4" fontId="5" fillId="0" borderId="1" xfId="0" applyNumberFormat="1" applyFont="1" applyBorder="1" applyAlignment="1">
      <alignment horizontal="center" vertical="center"/>
    </xf>
    <xf numFmtId="0" fontId="3" fillId="2" borderId="0" xfId="0" applyFont="1" applyFill="1" applyAlignment="1">
      <alignment horizontal="left" vertical="center"/>
    </xf>
    <xf numFmtId="0" fontId="0" fillId="0" borderId="0" xfId="0"/>
    <xf numFmtId="0" fontId="8" fillId="0" borderId="0" xfId="0" applyFont="1" applyAlignment="1">
      <alignment vertical="top" wrapText="1"/>
    </xf>
    <xf numFmtId="0" fontId="2" fillId="0" borderId="0" xfId="0" applyFont="1"/>
    <xf numFmtId="0" fontId="1" fillId="0" borderId="0" xfId="0" applyFont="1"/>
    <xf numFmtId="0" fontId="4" fillId="5" borderId="2" xfId="0" applyFont="1" applyFill="1" applyBorder="1" applyAlignment="1">
      <alignment horizontal="center" vertical="center"/>
    </xf>
    <xf numFmtId="0" fontId="0" fillId="0" borderId="3" xfId="0" applyBorder="1"/>
    <xf numFmtId="0" fontId="7" fillId="5" borderId="2" xfId="0" applyFont="1" applyFill="1" applyBorder="1" applyAlignment="1">
      <alignment horizontal="center" vertical="center"/>
    </xf>
    <xf numFmtId="0" fontId="6" fillId="3" borderId="2" xfId="0" applyFont="1" applyFill="1" applyBorder="1" applyAlignment="1">
      <alignment horizontal="center" vertical="center"/>
    </xf>
    <xf numFmtId="0" fontId="13" fillId="8" borderId="2" xfId="0" applyFont="1" applyFill="1" applyBorder="1" applyAlignment="1">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Vendor%20PDFs/Baraat-DJ-Invoice-284-11Dec2026.pdf"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Vendor%20PDFs/Baraat-DJ-Invoice-284-11Dec2026.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0"/>
  <sheetViews>
    <sheetView showGridLines="0" workbookViewId="0">
      <pane xSplit="2" ySplit="21" topLeftCell="C22" activePane="bottomRight" state="frozen"/>
      <selection pane="topRight"/>
      <selection pane="bottomLeft"/>
      <selection pane="bottomRight" activeCell="A32" sqref="A32:H32"/>
    </sheetView>
  </sheetViews>
  <sheetFormatPr baseColWidth="10" defaultColWidth="8.83203125" defaultRowHeight="15" x14ac:dyDescent="0.2"/>
  <cols>
    <col min="1" max="1" width="12" customWidth="1"/>
    <col min="2" max="7" width="15" customWidth="1"/>
    <col min="8" max="8" width="34" customWidth="1"/>
    <col min="9" max="12" width="15" customWidth="1"/>
  </cols>
  <sheetData>
    <row r="1" spans="1:8" ht="21" customHeight="1" x14ac:dyDescent="0.25">
      <c r="A1" s="1" t="s">
        <v>35</v>
      </c>
    </row>
    <row r="2" spans="1:8" x14ac:dyDescent="0.2">
      <c r="A2" s="2" t="s">
        <v>36</v>
      </c>
    </row>
    <row r="4" spans="1:8" x14ac:dyDescent="0.2">
      <c r="A4" s="48" t="s">
        <v>3</v>
      </c>
      <c r="B4" s="49"/>
      <c r="C4" s="49"/>
      <c r="D4" s="49"/>
      <c r="E4" s="49"/>
      <c r="F4" s="49"/>
      <c r="G4" s="49"/>
      <c r="H4" s="49"/>
    </row>
    <row r="5" spans="1:8" x14ac:dyDescent="0.2">
      <c r="A5" s="3" t="s">
        <v>4</v>
      </c>
      <c r="B5" s="4" t="s">
        <v>5</v>
      </c>
    </row>
    <row r="6" spans="1:8" x14ac:dyDescent="0.2">
      <c r="A6" s="3" t="s">
        <v>6</v>
      </c>
      <c r="B6" s="4" t="s">
        <v>7</v>
      </c>
    </row>
    <row r="7" spans="1:8" x14ac:dyDescent="0.2">
      <c r="A7" s="3" t="s">
        <v>8</v>
      </c>
      <c r="B7" s="4">
        <v>10</v>
      </c>
    </row>
    <row r="8" spans="1:8" x14ac:dyDescent="0.2">
      <c r="A8" s="3" t="s">
        <v>9</v>
      </c>
      <c r="B8" s="4">
        <v>37</v>
      </c>
    </row>
    <row r="10" spans="1:8" x14ac:dyDescent="0.2">
      <c r="A10" s="48" t="s">
        <v>37</v>
      </c>
      <c r="B10" s="49"/>
      <c r="C10" s="49"/>
      <c r="D10" s="49"/>
      <c r="E10" s="49"/>
      <c r="F10" s="49"/>
      <c r="G10" s="49"/>
      <c r="H10" s="49"/>
    </row>
    <row r="11" spans="1:8" ht="24" customHeight="1" x14ac:dyDescent="0.2">
      <c r="A11" s="5" t="s">
        <v>11</v>
      </c>
      <c r="B11" s="5" t="s">
        <v>12</v>
      </c>
    </row>
    <row r="12" spans="1:8" x14ac:dyDescent="0.2">
      <c r="A12" s="4" t="s">
        <v>14</v>
      </c>
      <c r="B12" s="4">
        <v>2</v>
      </c>
    </row>
    <row r="13" spans="1:8" x14ac:dyDescent="0.2">
      <c r="A13" s="4" t="s">
        <v>15</v>
      </c>
      <c r="B13" s="4">
        <v>3</v>
      </c>
    </row>
    <row r="14" spans="1:8" x14ac:dyDescent="0.2">
      <c r="A14" s="6" t="s">
        <v>16</v>
      </c>
      <c r="B14" s="6">
        <v>10</v>
      </c>
    </row>
    <row r="15" spans="1:8" x14ac:dyDescent="0.2">
      <c r="A15" s="6" t="s">
        <v>17</v>
      </c>
      <c r="B15" s="6">
        <v>10</v>
      </c>
    </row>
    <row r="16" spans="1:8" x14ac:dyDescent="0.2">
      <c r="A16" s="6" t="s">
        <v>18</v>
      </c>
      <c r="B16" s="6">
        <v>10</v>
      </c>
    </row>
    <row r="17" spans="1:9" x14ac:dyDescent="0.2">
      <c r="A17" s="4" t="s">
        <v>19</v>
      </c>
      <c r="B17" s="4">
        <v>2</v>
      </c>
    </row>
    <row r="18" spans="1:9" x14ac:dyDescent="0.2">
      <c r="A18" s="7" t="s">
        <v>20</v>
      </c>
      <c r="B18" s="7">
        <f>SUM(B12:B17)</f>
        <v>37</v>
      </c>
    </row>
    <row r="20" spans="1:9" x14ac:dyDescent="0.2">
      <c r="A20" s="48" t="s">
        <v>38</v>
      </c>
      <c r="B20" s="49"/>
      <c r="C20" s="49"/>
      <c r="D20" s="49"/>
      <c r="E20" s="49"/>
      <c r="F20" s="49"/>
      <c r="G20" s="49"/>
      <c r="H20" s="49"/>
    </row>
    <row r="21" spans="1:9" ht="24" customHeight="1" x14ac:dyDescent="0.2">
      <c r="A21" s="56" t="s">
        <v>39</v>
      </c>
      <c r="B21" s="54"/>
      <c r="C21" s="5" t="s">
        <v>5</v>
      </c>
      <c r="D21" s="5" t="s">
        <v>40</v>
      </c>
      <c r="E21" s="5" t="s">
        <v>41</v>
      </c>
      <c r="F21" s="5" t="s">
        <v>42</v>
      </c>
      <c r="G21" s="5" t="s">
        <v>43</v>
      </c>
      <c r="H21" s="5" t="s">
        <v>44</v>
      </c>
      <c r="I21" s="8" t="s">
        <v>45</v>
      </c>
    </row>
    <row r="22" spans="1:9" x14ac:dyDescent="0.2">
      <c r="A22" s="53" t="s">
        <v>46</v>
      </c>
      <c r="B22" s="54"/>
      <c r="C22" s="9" t="s">
        <v>158</v>
      </c>
      <c r="D22" s="9"/>
      <c r="E22" s="9"/>
      <c r="F22" s="9"/>
      <c r="G22" s="9"/>
      <c r="H22" s="9"/>
      <c r="I22" s="10"/>
    </row>
    <row r="23" spans="1:9" x14ac:dyDescent="0.2">
      <c r="A23" s="53" t="s">
        <v>47</v>
      </c>
      <c r="B23" s="54"/>
      <c r="C23" s="9"/>
      <c r="D23" s="9"/>
      <c r="E23" s="9"/>
      <c r="F23" s="9"/>
      <c r="G23" s="9"/>
      <c r="H23" s="9"/>
      <c r="I23" s="10"/>
    </row>
    <row r="24" spans="1:9" x14ac:dyDescent="0.2">
      <c r="A24" s="53" t="s">
        <v>48</v>
      </c>
      <c r="B24" s="54"/>
      <c r="C24" s="9"/>
      <c r="D24" s="9"/>
      <c r="E24" s="9"/>
      <c r="F24" s="9"/>
      <c r="G24" s="9"/>
      <c r="H24" s="9"/>
      <c r="I24" s="10"/>
    </row>
    <row r="25" spans="1:9" x14ac:dyDescent="0.2">
      <c r="A25" s="53" t="s">
        <v>49</v>
      </c>
      <c r="B25" s="54"/>
      <c r="C25" s="9"/>
      <c r="D25" s="9"/>
      <c r="E25" s="9"/>
      <c r="F25" s="9"/>
      <c r="G25" s="9"/>
      <c r="H25" s="9"/>
      <c r="I25" s="10"/>
    </row>
    <row r="26" spans="1:9" x14ac:dyDescent="0.2">
      <c r="A26" s="53" t="s">
        <v>50</v>
      </c>
      <c r="B26" s="54"/>
      <c r="C26" s="9"/>
      <c r="D26" s="9"/>
      <c r="E26" s="9"/>
      <c r="F26" s="9"/>
      <c r="G26" s="9"/>
      <c r="H26" s="9"/>
      <c r="I26" s="10"/>
    </row>
    <row r="27" spans="1:9" x14ac:dyDescent="0.2">
      <c r="A27" s="53" t="s">
        <v>51</v>
      </c>
      <c r="B27" s="54"/>
      <c r="C27" s="9"/>
      <c r="D27" s="9"/>
      <c r="E27" s="9"/>
      <c r="F27" s="9"/>
      <c r="G27" s="9"/>
      <c r="H27" s="9"/>
      <c r="I27" s="10"/>
    </row>
    <row r="28" spans="1:9" x14ac:dyDescent="0.2">
      <c r="A28" s="53" t="s">
        <v>52</v>
      </c>
      <c r="B28" s="54"/>
      <c r="C28" s="9"/>
      <c r="D28" s="9"/>
      <c r="E28" s="9"/>
      <c r="F28" s="9"/>
      <c r="G28" s="9"/>
      <c r="H28" s="9"/>
      <c r="I28" s="10"/>
    </row>
    <row r="29" spans="1:9" x14ac:dyDescent="0.2">
      <c r="A29" s="53" t="s">
        <v>53</v>
      </c>
      <c r="B29" s="54"/>
      <c r="C29" s="9"/>
      <c r="D29" s="9"/>
      <c r="E29" s="9"/>
      <c r="F29" s="9"/>
      <c r="G29" s="9"/>
      <c r="H29" s="9"/>
      <c r="I29" s="10"/>
    </row>
    <row r="30" spans="1:9" x14ac:dyDescent="0.2">
      <c r="A30" s="53" t="s">
        <v>54</v>
      </c>
      <c r="B30" s="54"/>
      <c r="C30" s="9"/>
      <c r="D30" s="9"/>
      <c r="E30" s="9"/>
      <c r="F30" s="9"/>
      <c r="G30" s="9"/>
      <c r="H30" s="9"/>
      <c r="I30" s="10"/>
    </row>
    <row r="31" spans="1:9" x14ac:dyDescent="0.2">
      <c r="A31" s="53" t="s">
        <v>55</v>
      </c>
      <c r="B31" s="54"/>
      <c r="C31" s="9"/>
      <c r="D31" s="9"/>
      <c r="E31" s="9"/>
      <c r="F31" s="9"/>
      <c r="G31" s="9"/>
      <c r="H31" s="9"/>
      <c r="I31" s="10"/>
    </row>
    <row r="32" spans="1:9" x14ac:dyDescent="0.2">
      <c r="A32" s="48" t="s">
        <v>56</v>
      </c>
      <c r="B32" s="49"/>
      <c r="C32" s="49"/>
      <c r="D32" s="49"/>
      <c r="E32" s="49"/>
      <c r="F32" s="49"/>
      <c r="G32" s="49"/>
      <c r="H32" s="49"/>
    </row>
    <row r="33" spans="1:8" x14ac:dyDescent="0.2">
      <c r="A33" s="53" t="s">
        <v>57</v>
      </c>
      <c r="B33" s="54"/>
      <c r="C33" s="9"/>
      <c r="D33" s="9"/>
      <c r="E33" s="9"/>
      <c r="F33" s="9"/>
      <c r="G33" s="9"/>
      <c r="H33" s="9"/>
    </row>
    <row r="34" spans="1:8" x14ac:dyDescent="0.2">
      <c r="A34" s="53" t="s">
        <v>58</v>
      </c>
      <c r="B34" s="54"/>
      <c r="C34" s="9"/>
      <c r="D34" s="9"/>
      <c r="E34" s="9"/>
      <c r="F34" s="9"/>
      <c r="G34" s="9"/>
      <c r="H34" s="9"/>
    </row>
    <row r="35" spans="1:8" x14ac:dyDescent="0.2">
      <c r="A35" s="53" t="s">
        <v>59</v>
      </c>
      <c r="B35" s="54"/>
      <c r="C35" s="9"/>
      <c r="D35" s="9"/>
      <c r="E35" s="9"/>
      <c r="F35" s="9"/>
      <c r="G35" s="9"/>
      <c r="H35" s="9"/>
    </row>
    <row r="36" spans="1:8" ht="24" customHeight="1" x14ac:dyDescent="0.2">
      <c r="A36" s="53" t="s">
        <v>60</v>
      </c>
      <c r="B36" s="54"/>
      <c r="C36" s="9"/>
      <c r="D36" s="9"/>
      <c r="E36" s="9"/>
      <c r="F36" s="9"/>
      <c r="G36" s="9"/>
      <c r="H36" s="9"/>
    </row>
    <row r="37" spans="1:8" ht="24" customHeight="1" x14ac:dyDescent="0.2">
      <c r="A37" s="53" t="s">
        <v>61</v>
      </c>
      <c r="B37" s="54"/>
      <c r="C37" s="9"/>
      <c r="D37" s="9"/>
      <c r="E37" s="9"/>
      <c r="F37" s="9"/>
      <c r="G37" s="9"/>
      <c r="H37" s="9"/>
    </row>
    <row r="38" spans="1:8" ht="24" customHeight="1" x14ac:dyDescent="0.2">
      <c r="A38" s="53" t="s">
        <v>62</v>
      </c>
      <c r="B38" s="54"/>
      <c r="C38" s="9"/>
      <c r="D38" s="9"/>
      <c r="E38" s="9"/>
      <c r="F38" s="9"/>
      <c r="G38" s="9"/>
      <c r="H38" s="9"/>
    </row>
    <row r="39" spans="1:8" ht="24" customHeight="1" x14ac:dyDescent="0.2">
      <c r="A39" s="53" t="s">
        <v>63</v>
      </c>
      <c r="B39" s="54"/>
      <c r="C39" s="9"/>
      <c r="D39" s="9"/>
      <c r="E39" s="9"/>
      <c r="F39" s="9"/>
      <c r="G39" s="9"/>
      <c r="H39" s="9"/>
    </row>
    <row r="40" spans="1:8" x14ac:dyDescent="0.2">
      <c r="A40" s="53" t="s">
        <v>64</v>
      </c>
      <c r="B40" s="54"/>
      <c r="C40" s="9"/>
      <c r="D40" s="9"/>
      <c r="E40" s="9"/>
      <c r="F40" s="9"/>
      <c r="G40" s="9"/>
      <c r="H40" s="9"/>
    </row>
    <row r="41" spans="1:8" x14ac:dyDescent="0.2">
      <c r="A41" s="53" t="s">
        <v>65</v>
      </c>
      <c r="B41" s="54"/>
      <c r="C41" s="9"/>
      <c r="D41" s="9"/>
      <c r="E41" s="9"/>
      <c r="F41" s="9"/>
      <c r="G41" s="9"/>
      <c r="H41" s="9"/>
    </row>
    <row r="42" spans="1:8" x14ac:dyDescent="0.2">
      <c r="A42" s="53" t="s">
        <v>66</v>
      </c>
      <c r="B42" s="54"/>
      <c r="C42" s="9"/>
      <c r="D42" s="9"/>
      <c r="E42" s="9"/>
      <c r="F42" s="9"/>
      <c r="G42" s="9"/>
      <c r="H42" s="9"/>
    </row>
    <row r="43" spans="1:8" x14ac:dyDescent="0.2">
      <c r="A43" s="55" t="s">
        <v>67</v>
      </c>
      <c r="B43" s="54"/>
      <c r="C43" s="11">
        <f t="shared" ref="C43:H43" si="0">SUMPRODUCT(--(((C22:C31&lt;&gt;"")+(C33:C42&lt;&gt;""))&gt;0))</f>
        <v>1</v>
      </c>
      <c r="D43" s="11">
        <f t="shared" si="0"/>
        <v>0</v>
      </c>
      <c r="E43" s="11">
        <f t="shared" si="0"/>
        <v>0</v>
      </c>
      <c r="F43" s="11">
        <f t="shared" si="0"/>
        <v>0</v>
      </c>
      <c r="G43" s="11">
        <f t="shared" si="0"/>
        <v>0</v>
      </c>
      <c r="H43" s="11">
        <f t="shared" si="0"/>
        <v>0</v>
      </c>
    </row>
    <row r="44" spans="1:8" x14ac:dyDescent="0.2">
      <c r="A44" s="55" t="s">
        <v>68</v>
      </c>
      <c r="B44" s="54"/>
      <c r="C44" s="11">
        <v>2</v>
      </c>
      <c r="D44" s="11">
        <v>3</v>
      </c>
      <c r="E44" s="11">
        <v>10</v>
      </c>
      <c r="F44" s="11">
        <v>10</v>
      </c>
      <c r="G44" s="11">
        <v>10</v>
      </c>
      <c r="H44" s="11">
        <v>2</v>
      </c>
    </row>
    <row r="45" spans="1:8" x14ac:dyDescent="0.2">
      <c r="A45" s="55" t="s">
        <v>69</v>
      </c>
      <c r="B45" s="54"/>
      <c r="C45" s="4" t="str">
        <f t="shared" ref="C45:H45" si="1">IF(C43=C44,"OK",IF(C43&lt;C44,"need "&amp;(C44-C43)&amp;" more","extra "&amp;(C43-C44)))</f>
        <v>need 1 more</v>
      </c>
      <c r="D45" s="4" t="str">
        <f t="shared" si="1"/>
        <v>need 3 more</v>
      </c>
      <c r="E45" s="4" t="str">
        <f t="shared" si="1"/>
        <v>need 10 more</v>
      </c>
      <c r="F45" s="4" t="str">
        <f t="shared" si="1"/>
        <v>need 10 more</v>
      </c>
      <c r="G45" s="4" t="str">
        <f t="shared" si="1"/>
        <v>need 10 more</v>
      </c>
      <c r="H45" s="4" t="str">
        <f t="shared" si="1"/>
        <v>need 2 more</v>
      </c>
    </row>
    <row r="47" spans="1:8" x14ac:dyDescent="0.2">
      <c r="A47" s="50" t="s">
        <v>70</v>
      </c>
      <c r="B47" s="49"/>
      <c r="C47" s="49"/>
      <c r="D47" s="49"/>
      <c r="E47" s="49"/>
      <c r="F47" s="49"/>
      <c r="G47" s="49"/>
      <c r="H47" s="49"/>
    </row>
    <row r="48" spans="1:8" x14ac:dyDescent="0.2">
      <c r="A48" s="50" t="s">
        <v>71</v>
      </c>
      <c r="B48" s="49"/>
      <c r="C48" s="49"/>
      <c r="D48" s="49"/>
      <c r="E48" s="49"/>
      <c r="F48" s="49"/>
      <c r="G48" s="49"/>
      <c r="H48" s="49"/>
    </row>
    <row r="49" spans="1:8" x14ac:dyDescent="0.2">
      <c r="A49" s="50" t="s">
        <v>72</v>
      </c>
      <c r="B49" s="49"/>
      <c r="C49" s="49"/>
      <c r="D49" s="49"/>
      <c r="E49" s="49"/>
      <c r="F49" s="49"/>
      <c r="G49" s="49"/>
      <c r="H49" s="49"/>
    </row>
    <row r="50" spans="1:8" x14ac:dyDescent="0.2">
      <c r="A50" s="50" t="s">
        <v>73</v>
      </c>
      <c r="B50" s="49"/>
      <c r="C50" s="49"/>
      <c r="D50" s="49"/>
      <c r="E50" s="49"/>
      <c r="F50" s="49"/>
      <c r="G50" s="49"/>
      <c r="H50" s="49"/>
    </row>
  </sheetData>
  <mergeCells count="32">
    <mergeCell ref="A4:H4"/>
    <mergeCell ref="A38:B38"/>
    <mergeCell ref="A29:B29"/>
    <mergeCell ref="A43:B43"/>
    <mergeCell ref="A20:H20"/>
    <mergeCell ref="A10:H10"/>
    <mergeCell ref="A28:B28"/>
    <mergeCell ref="A40:B40"/>
    <mergeCell ref="A31:B31"/>
    <mergeCell ref="A39:B39"/>
    <mergeCell ref="A34:B34"/>
    <mergeCell ref="A50:H50"/>
    <mergeCell ref="A26:B26"/>
    <mergeCell ref="A21:B21"/>
    <mergeCell ref="A33:B33"/>
    <mergeCell ref="A42:B42"/>
    <mergeCell ref="A47:H47"/>
    <mergeCell ref="A23:B23"/>
    <mergeCell ref="A32:H32"/>
    <mergeCell ref="A22:B22"/>
    <mergeCell ref="A35:B35"/>
    <mergeCell ref="A44:B44"/>
    <mergeCell ref="A49:H49"/>
    <mergeCell ref="A25:B25"/>
    <mergeCell ref="A41:B41"/>
    <mergeCell ref="A37:B37"/>
    <mergeCell ref="A27:B27"/>
    <mergeCell ref="A48:H48"/>
    <mergeCell ref="A24:B24"/>
    <mergeCell ref="A30:B30"/>
    <mergeCell ref="A45:B45"/>
    <mergeCell ref="A36:B36"/>
  </mergeCells>
  <conditionalFormatting sqref="C45:H45">
    <cfRule type="cellIs" dxfId="9" priority="1" operator="equal">
      <formula>"OK"</formula>
    </cfRule>
    <cfRule type="expression" dxfId="8" priority="2">
      <formula>ISNUMBER(SEARCH("need",C34))</formula>
    </cfRule>
    <cfRule type="expression" dxfId="7" priority="3">
      <formula>ISNUMBER(SEARCH("over",C34))</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5"/>
  <sheetViews>
    <sheetView showGridLines="0" workbookViewId="0">
      <pane xSplit="2" ySplit="21" topLeftCell="C22" activePane="bottomRight" state="frozen"/>
      <selection pane="topRight"/>
      <selection pane="bottomLeft"/>
      <selection pane="bottomRight" activeCell="C22" sqref="C22"/>
    </sheetView>
  </sheetViews>
  <sheetFormatPr baseColWidth="10" defaultColWidth="8.83203125" defaultRowHeight="15" x14ac:dyDescent="0.2"/>
  <cols>
    <col min="1" max="1" width="12" customWidth="1"/>
    <col min="2" max="5" width="15" customWidth="1"/>
    <col min="6" max="6" width="34" customWidth="1"/>
    <col min="7" max="12" width="15" customWidth="1"/>
  </cols>
  <sheetData>
    <row r="1" spans="1:7" ht="21" customHeight="1" x14ac:dyDescent="0.25">
      <c r="A1" s="1" t="s">
        <v>74</v>
      </c>
    </row>
    <row r="2" spans="1:7" x14ac:dyDescent="0.2">
      <c r="A2" s="2" t="s">
        <v>75</v>
      </c>
    </row>
    <row r="4" spans="1:7" x14ac:dyDescent="0.2">
      <c r="A4" s="48" t="s">
        <v>3</v>
      </c>
      <c r="B4" s="49"/>
      <c r="C4" s="49"/>
      <c r="D4" s="49"/>
      <c r="E4" s="49"/>
      <c r="F4" s="49"/>
      <c r="G4" s="49"/>
    </row>
    <row r="5" spans="1:7" x14ac:dyDescent="0.2">
      <c r="A5" s="3" t="s">
        <v>4</v>
      </c>
      <c r="B5" s="4" t="s">
        <v>5</v>
      </c>
    </row>
    <row r="6" spans="1:7" x14ac:dyDescent="0.2">
      <c r="A6" s="3" t="s">
        <v>6</v>
      </c>
      <c r="B6" s="4" t="s">
        <v>43</v>
      </c>
    </row>
    <row r="7" spans="1:7" x14ac:dyDescent="0.2">
      <c r="A7" s="3" t="s">
        <v>76</v>
      </c>
      <c r="B7" s="4" t="s">
        <v>77</v>
      </c>
    </row>
    <row r="8" spans="1:7" x14ac:dyDescent="0.2">
      <c r="A8" s="3" t="s">
        <v>8</v>
      </c>
      <c r="B8" s="4">
        <v>7</v>
      </c>
    </row>
    <row r="9" spans="1:7" x14ac:dyDescent="0.2">
      <c r="A9" s="3" t="s">
        <v>9</v>
      </c>
      <c r="B9" s="4">
        <v>23</v>
      </c>
    </row>
    <row r="11" spans="1:7" x14ac:dyDescent="0.2">
      <c r="A11" s="48" t="s">
        <v>37</v>
      </c>
      <c r="B11" s="49"/>
      <c r="C11" s="49"/>
      <c r="D11" s="49"/>
      <c r="E11" s="49"/>
      <c r="F11" s="49"/>
      <c r="G11" s="49"/>
    </row>
    <row r="12" spans="1:7" ht="24" customHeight="1" x14ac:dyDescent="0.2">
      <c r="A12" s="5" t="s">
        <v>11</v>
      </c>
      <c r="B12" s="5" t="s">
        <v>12</v>
      </c>
    </row>
    <row r="13" spans="1:7" x14ac:dyDescent="0.2">
      <c r="A13" t="s">
        <v>14</v>
      </c>
      <c r="B13">
        <v>2</v>
      </c>
    </row>
    <row r="14" spans="1:7" x14ac:dyDescent="0.2">
      <c r="A14" s="6" t="s">
        <v>15</v>
      </c>
      <c r="B14" s="6">
        <v>7</v>
      </c>
    </row>
    <row r="15" spans="1:7" x14ac:dyDescent="0.2">
      <c r="A15" s="6" t="s">
        <v>16</v>
      </c>
      <c r="B15" s="6">
        <v>7</v>
      </c>
    </row>
    <row r="16" spans="1:7" x14ac:dyDescent="0.2">
      <c r="A16" s="6" t="s">
        <v>17</v>
      </c>
      <c r="B16" s="6">
        <v>7</v>
      </c>
    </row>
    <row r="17" spans="1:8" x14ac:dyDescent="0.2">
      <c r="A17" s="4" t="s">
        <v>18</v>
      </c>
      <c r="B17" s="4">
        <v>0</v>
      </c>
    </row>
    <row r="18" spans="1:8" x14ac:dyDescent="0.2">
      <c r="A18" s="7" t="s">
        <v>20</v>
      </c>
      <c r="B18" s="7">
        <f>SUM(B13:B17)</f>
        <v>23</v>
      </c>
    </row>
    <row r="20" spans="1:8" ht="24" customHeight="1" x14ac:dyDescent="0.2">
      <c r="A20" s="48" t="s">
        <v>38</v>
      </c>
      <c r="B20" s="49"/>
      <c r="C20" s="49"/>
      <c r="D20" s="49"/>
      <c r="E20" s="49"/>
      <c r="F20" s="49"/>
      <c r="G20" s="49"/>
    </row>
    <row r="21" spans="1:8" x14ac:dyDescent="0.2">
      <c r="A21" s="56" t="s">
        <v>39</v>
      </c>
      <c r="B21" s="54"/>
      <c r="C21" s="5" t="s">
        <v>5</v>
      </c>
      <c r="D21" s="5" t="s">
        <v>40</v>
      </c>
      <c r="E21" s="5" t="s">
        <v>41</v>
      </c>
      <c r="F21" s="5" t="s">
        <v>42</v>
      </c>
      <c r="G21" s="5" t="s">
        <v>43</v>
      </c>
      <c r="H21" s="8" t="s">
        <v>45</v>
      </c>
    </row>
    <row r="22" spans="1:8" x14ac:dyDescent="0.2">
      <c r="A22" s="53" t="s">
        <v>46</v>
      </c>
      <c r="B22" s="54"/>
      <c r="C22" s="9"/>
      <c r="D22" s="9"/>
      <c r="E22" s="9"/>
      <c r="F22" s="9"/>
      <c r="G22" s="9"/>
      <c r="H22" s="10"/>
    </row>
    <row r="23" spans="1:8" x14ac:dyDescent="0.2">
      <c r="A23" s="53" t="s">
        <v>47</v>
      </c>
      <c r="B23" s="54"/>
      <c r="C23" s="9"/>
      <c r="D23" s="9"/>
      <c r="E23" s="9"/>
      <c r="F23" s="9"/>
      <c r="G23" s="9"/>
      <c r="H23" s="10"/>
    </row>
    <row r="24" spans="1:8" x14ac:dyDescent="0.2">
      <c r="A24" s="53" t="s">
        <v>48</v>
      </c>
      <c r="B24" s="54"/>
      <c r="C24" s="9"/>
      <c r="D24" s="9"/>
      <c r="E24" s="9"/>
      <c r="F24" s="9"/>
      <c r="G24" s="9"/>
      <c r="H24" s="10"/>
    </row>
    <row r="25" spans="1:8" x14ac:dyDescent="0.2">
      <c r="A25" s="53" t="s">
        <v>49</v>
      </c>
      <c r="B25" s="54"/>
      <c r="C25" s="9"/>
      <c r="D25" s="9"/>
      <c r="E25" s="9"/>
      <c r="F25" s="9"/>
      <c r="G25" s="9"/>
      <c r="H25" s="10"/>
    </row>
    <row r="26" spans="1:8" x14ac:dyDescent="0.2">
      <c r="A26" s="53" t="s">
        <v>50</v>
      </c>
      <c r="B26" s="54"/>
      <c r="C26" s="9"/>
      <c r="D26" s="9"/>
      <c r="E26" s="9"/>
      <c r="F26" s="9"/>
      <c r="G26" s="9"/>
      <c r="H26" s="10"/>
    </row>
    <row r="27" spans="1:8" x14ac:dyDescent="0.2">
      <c r="A27" s="53" t="s">
        <v>51</v>
      </c>
      <c r="B27" s="54"/>
      <c r="C27" s="9"/>
      <c r="D27" s="9"/>
      <c r="E27" s="9"/>
      <c r="F27" s="9"/>
      <c r="G27" s="9"/>
      <c r="H27" s="10"/>
    </row>
    <row r="28" spans="1:8" x14ac:dyDescent="0.2">
      <c r="A28" s="53" t="s">
        <v>52</v>
      </c>
      <c r="B28" s="54"/>
      <c r="C28" s="9"/>
      <c r="D28" s="9"/>
      <c r="E28" s="9"/>
      <c r="F28" s="9"/>
      <c r="G28" s="9"/>
      <c r="H28" s="10"/>
    </row>
    <row r="29" spans="1:8" x14ac:dyDescent="0.2">
      <c r="A29" s="48" t="s">
        <v>56</v>
      </c>
      <c r="B29" s="49"/>
      <c r="C29" s="49"/>
      <c r="D29" s="49"/>
      <c r="E29" s="49"/>
      <c r="F29" s="49"/>
      <c r="G29" s="49"/>
    </row>
    <row r="30" spans="1:8" x14ac:dyDescent="0.2">
      <c r="A30" s="53" t="s">
        <v>57</v>
      </c>
      <c r="B30" s="54"/>
      <c r="C30" s="9"/>
      <c r="D30" s="9"/>
      <c r="E30" s="9"/>
      <c r="F30" s="9"/>
      <c r="G30" s="9"/>
    </row>
    <row r="31" spans="1:8" x14ac:dyDescent="0.2">
      <c r="A31" s="53" t="s">
        <v>58</v>
      </c>
      <c r="B31" s="54"/>
      <c r="C31" s="9"/>
      <c r="D31" s="9"/>
      <c r="E31" s="9"/>
      <c r="F31" s="9"/>
      <c r="G31" s="9"/>
    </row>
    <row r="32" spans="1:8" ht="24" customHeight="1" x14ac:dyDescent="0.2">
      <c r="A32" s="53" t="s">
        <v>59</v>
      </c>
      <c r="B32" s="54"/>
      <c r="C32" s="9"/>
      <c r="D32" s="9"/>
      <c r="E32" s="9"/>
      <c r="F32" s="9"/>
      <c r="G32" s="9"/>
    </row>
    <row r="33" spans="1:7" ht="24" customHeight="1" x14ac:dyDescent="0.2">
      <c r="A33" s="53" t="s">
        <v>60</v>
      </c>
      <c r="B33" s="54"/>
      <c r="C33" s="9"/>
      <c r="D33" s="9"/>
      <c r="E33" s="9"/>
      <c r="F33" s="9"/>
      <c r="G33" s="9"/>
    </row>
    <row r="34" spans="1:7" ht="24" customHeight="1" x14ac:dyDescent="0.2">
      <c r="A34" s="53" t="s">
        <v>61</v>
      </c>
      <c r="B34" s="54"/>
      <c r="C34" s="9"/>
      <c r="D34" s="9"/>
      <c r="E34" s="9"/>
      <c r="F34" s="9"/>
      <c r="G34" s="9"/>
    </row>
    <row r="35" spans="1:7" ht="24" customHeight="1" x14ac:dyDescent="0.2">
      <c r="A35" s="53" t="s">
        <v>62</v>
      </c>
      <c r="B35" s="54"/>
      <c r="C35" s="9"/>
      <c r="D35" s="9"/>
      <c r="E35" s="9"/>
      <c r="F35" s="9"/>
      <c r="G35" s="9"/>
    </row>
    <row r="36" spans="1:7" ht="24" customHeight="1" x14ac:dyDescent="0.2">
      <c r="A36" s="53" t="s">
        <v>63</v>
      </c>
      <c r="B36" s="54"/>
      <c r="C36" s="9"/>
      <c r="D36" s="9"/>
      <c r="E36" s="9"/>
      <c r="F36" s="9"/>
      <c r="G36" s="9"/>
    </row>
    <row r="37" spans="1:7" x14ac:dyDescent="0.2">
      <c r="A37" s="55" t="s">
        <v>67</v>
      </c>
      <c r="B37" s="54"/>
      <c r="C37" s="9">
        <f>SUMPRODUCT(--(((C22:C28&lt;&gt;"")+(C30:C36&lt;&gt;""))&gt;0))</f>
        <v>0</v>
      </c>
      <c r="D37" s="11">
        <f>SUMPRODUCT(--(((D22:D28&lt;&gt;"")+(D30:D36&lt;&gt;""))&gt;0))</f>
        <v>0</v>
      </c>
      <c r="E37" s="11">
        <f>SUMPRODUCT(--(((E22:E28&lt;&gt;"")+(E30:E36&lt;&gt;""))&gt;0))</f>
        <v>0</v>
      </c>
      <c r="F37" s="11">
        <f>SUMPRODUCT(--(((F22:F28&lt;&gt;"")+(F30:F36&lt;&gt;""))&gt;0))</f>
        <v>0</v>
      </c>
      <c r="G37" s="11">
        <f>SUMPRODUCT(--(((G22:G28&lt;&gt;"")+(G30:G36&lt;&gt;""))&gt;0))</f>
        <v>0</v>
      </c>
    </row>
    <row r="38" spans="1:7" x14ac:dyDescent="0.2">
      <c r="A38" s="55" t="s">
        <v>68</v>
      </c>
      <c r="B38" s="54"/>
      <c r="C38" s="9">
        <v>2</v>
      </c>
      <c r="D38" s="11">
        <v>7</v>
      </c>
      <c r="E38" s="11">
        <v>7</v>
      </c>
      <c r="F38" s="11">
        <v>7</v>
      </c>
      <c r="G38" s="11">
        <v>0</v>
      </c>
    </row>
    <row r="39" spans="1:7" x14ac:dyDescent="0.2">
      <c r="A39" s="55" t="s">
        <v>69</v>
      </c>
      <c r="B39" s="54"/>
      <c r="C39" s="9" t="str">
        <f>IF(C37=C38,"OK",IF(C37&lt;C38,"need "&amp;(C38-C37)&amp;" more","extra "&amp;(C37-C38)))</f>
        <v>need 2 more</v>
      </c>
      <c r="D39" s="4" t="str">
        <f>IF(D37=D38,"OK",IF(D37&lt;D38,"need "&amp;(D38-D37)&amp;" more","extra "&amp;(D37-D38)))</f>
        <v>need 7 more</v>
      </c>
      <c r="E39" s="4" t="str">
        <f>IF(E37=E38,"OK",IF(E37&lt;E38,"need "&amp;(E38-E37)&amp;" more","extra "&amp;(E37-E38)))</f>
        <v>need 7 more</v>
      </c>
      <c r="F39" s="4" t="str">
        <f>IF(F37=F38,"OK",IF(F37&lt;F38,"need "&amp;(F38-F37)&amp;" more","extra "&amp;(F37-F38)))</f>
        <v>need 7 more</v>
      </c>
      <c r="G39" s="4" t="str">
        <f>IF(G37=G38,"OK",IF(G37&lt;G38,"need "&amp;(G38-G37)&amp;" more","extra "&amp;(G37-G38)))</f>
        <v>OK</v>
      </c>
    </row>
    <row r="41" spans="1:7" x14ac:dyDescent="0.2">
      <c r="A41" s="50" t="s">
        <v>70</v>
      </c>
      <c r="B41" s="49"/>
      <c r="C41" s="49"/>
      <c r="D41" s="49"/>
      <c r="E41" s="49"/>
      <c r="F41" s="49"/>
      <c r="G41" s="49"/>
    </row>
    <row r="42" spans="1:7" x14ac:dyDescent="0.2">
      <c r="A42" s="50" t="s">
        <v>71</v>
      </c>
      <c r="B42" s="49"/>
      <c r="C42" s="49"/>
      <c r="D42" s="49"/>
      <c r="E42" s="49"/>
      <c r="F42" s="49"/>
      <c r="G42" s="49"/>
    </row>
    <row r="43" spans="1:7" x14ac:dyDescent="0.2">
      <c r="A43" s="50" t="s">
        <v>72</v>
      </c>
      <c r="B43" s="49"/>
      <c r="C43" s="49"/>
      <c r="D43" s="49"/>
      <c r="E43" s="49"/>
      <c r="F43" s="49"/>
      <c r="G43" s="49"/>
    </row>
    <row r="44" spans="1:7" x14ac:dyDescent="0.2">
      <c r="A44" s="50" t="s">
        <v>78</v>
      </c>
      <c r="B44" s="49"/>
      <c r="C44" s="49"/>
      <c r="D44" s="49"/>
      <c r="E44" s="49"/>
      <c r="F44" s="49"/>
      <c r="G44" s="49"/>
    </row>
    <row r="45" spans="1:7" x14ac:dyDescent="0.2">
      <c r="A45" s="50" t="s">
        <v>79</v>
      </c>
      <c r="B45" s="49"/>
      <c r="C45" s="49"/>
      <c r="D45" s="49"/>
      <c r="E45" s="49"/>
      <c r="F45" s="49"/>
      <c r="G45" s="49"/>
    </row>
  </sheetData>
  <mergeCells count="27">
    <mergeCell ref="A45:G45"/>
    <mergeCell ref="A34:B34"/>
    <mergeCell ref="A26:B26"/>
    <mergeCell ref="A21:B21"/>
    <mergeCell ref="A33:B33"/>
    <mergeCell ref="A32:B32"/>
    <mergeCell ref="A23:B23"/>
    <mergeCell ref="A41:G41"/>
    <mergeCell ref="A22:B22"/>
    <mergeCell ref="A35:B35"/>
    <mergeCell ref="A38:B38"/>
    <mergeCell ref="A28:B28"/>
    <mergeCell ref="A31:B31"/>
    <mergeCell ref="A39:B39"/>
    <mergeCell ref="A42:G42"/>
    <mergeCell ref="A43:G43"/>
    <mergeCell ref="A44:G44"/>
    <mergeCell ref="A25:B25"/>
    <mergeCell ref="A37:B37"/>
    <mergeCell ref="A27:B27"/>
    <mergeCell ref="A24:B24"/>
    <mergeCell ref="A30:B30"/>
    <mergeCell ref="A4:G4"/>
    <mergeCell ref="A20:G20"/>
    <mergeCell ref="A36:B36"/>
    <mergeCell ref="A29:G29"/>
    <mergeCell ref="A11:G11"/>
  </mergeCells>
  <conditionalFormatting sqref="C39:G39">
    <cfRule type="cellIs" dxfId="6" priority="1" operator="equal">
      <formula>"OK"</formula>
    </cfRule>
    <cfRule type="expression" dxfId="5" priority="2">
      <formula>ISNUMBER(SEARCH("need",D30))</formula>
    </cfRule>
    <cfRule type="expression" dxfId="4" priority="3">
      <formula>ISNUMBER(SEARCH("over",D30))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42"/>
  <sheetViews>
    <sheetView showGridLines="0" tabSelected="1" workbookViewId="0">
      <pane xSplit="1" ySplit="3" topLeftCell="B4" activePane="bottomRight" state="frozen"/>
      <selection pane="topRight"/>
      <selection pane="bottomLeft"/>
      <selection pane="bottomRight" activeCell="G18" sqref="G18"/>
    </sheetView>
  </sheetViews>
  <sheetFormatPr baseColWidth="10" defaultColWidth="8.83203125" defaultRowHeight="15" x14ac:dyDescent="0.2"/>
  <cols>
    <col min="1" max="1" width="27" customWidth="1"/>
    <col min="2" max="2" width="20" customWidth="1"/>
    <col min="3" max="4" width="14" customWidth="1"/>
    <col min="5" max="5" width="24" customWidth="1"/>
    <col min="6" max="6" width="28" customWidth="1"/>
    <col min="7" max="7" width="24" customWidth="1"/>
    <col min="8" max="8" width="12" customWidth="1"/>
    <col min="9" max="11" width="13" customWidth="1"/>
    <col min="12" max="12" width="15" customWidth="1"/>
    <col min="13" max="13" width="18" customWidth="1"/>
    <col min="14" max="16" width="12" customWidth="1"/>
    <col min="17" max="17" width="40" customWidth="1"/>
  </cols>
  <sheetData>
    <row r="1" spans="1:17" ht="21" customHeight="1" x14ac:dyDescent="0.25">
      <c r="A1" s="1" t="s">
        <v>80</v>
      </c>
    </row>
    <row r="3" spans="1:17" ht="30" customHeight="1" x14ac:dyDescent="0.2">
      <c r="A3" s="12" t="s">
        <v>81</v>
      </c>
      <c r="B3" s="12" t="s">
        <v>82</v>
      </c>
      <c r="C3" s="12" t="s">
        <v>30</v>
      </c>
      <c r="D3" s="12" t="s">
        <v>83</v>
      </c>
      <c r="E3" s="12" t="s">
        <v>84</v>
      </c>
      <c r="F3" s="12" t="s">
        <v>32</v>
      </c>
      <c r="G3" s="12" t="s">
        <v>85</v>
      </c>
      <c r="H3" s="12" t="s">
        <v>86</v>
      </c>
      <c r="I3" s="12" t="s">
        <v>87</v>
      </c>
      <c r="J3" s="12" t="s">
        <v>88</v>
      </c>
      <c r="K3" s="12" t="s">
        <v>89</v>
      </c>
      <c r="L3" s="12" t="s">
        <v>90</v>
      </c>
      <c r="M3" s="12" t="s">
        <v>91</v>
      </c>
      <c r="N3" s="12" t="s">
        <v>92</v>
      </c>
      <c r="O3" s="12" t="s">
        <v>93</v>
      </c>
      <c r="P3" s="12" t="s">
        <v>94</v>
      </c>
      <c r="Q3" s="12" t="s">
        <v>45</v>
      </c>
    </row>
    <row r="4" spans="1:17" ht="75" customHeight="1" x14ac:dyDescent="0.2">
      <c r="A4" s="13" t="s">
        <v>95</v>
      </c>
      <c r="B4" s="14" t="s">
        <v>96</v>
      </c>
      <c r="C4" s="15" t="s">
        <v>97</v>
      </c>
      <c r="D4" s="15"/>
      <c r="E4" s="14"/>
      <c r="F4" s="16" t="s">
        <v>98</v>
      </c>
      <c r="G4" s="16" t="s">
        <v>99</v>
      </c>
      <c r="H4" s="14" t="s">
        <v>42</v>
      </c>
      <c r="I4" s="17">
        <v>41000</v>
      </c>
      <c r="J4" s="17">
        <v>11000</v>
      </c>
      <c r="K4" s="17">
        <f t="shared" ref="K4:K18" si="0">IF(I4="","",I4-IF(J4="",0,J4))</f>
        <v>30000</v>
      </c>
      <c r="L4" s="14"/>
      <c r="M4" s="14" t="s">
        <v>100</v>
      </c>
      <c r="N4" s="18"/>
      <c r="O4" s="14" t="str">
        <f t="shared" ref="O4:O18" si="1">IF(I4="","Not Quoted",IF(K4&lt;=0,"Paid","Pending"))</f>
        <v>Pending</v>
      </c>
      <c r="P4" s="19" t="s">
        <v>101</v>
      </c>
      <c r="Q4" s="16" t="s">
        <v>102</v>
      </c>
    </row>
    <row r="5" spans="1:17" x14ac:dyDescent="0.2">
      <c r="A5" s="13" t="s">
        <v>103</v>
      </c>
      <c r="B5" s="21"/>
      <c r="C5" s="22"/>
      <c r="D5" s="23"/>
      <c r="E5" s="24"/>
      <c r="F5" s="25"/>
      <c r="G5" s="16" t="s">
        <v>104</v>
      </c>
      <c r="H5" s="14" t="s">
        <v>42</v>
      </c>
      <c r="I5" s="28"/>
      <c r="J5" s="28"/>
      <c r="K5" s="17" t="str">
        <f t="shared" si="0"/>
        <v/>
      </c>
      <c r="L5" s="24"/>
      <c r="M5" s="21"/>
      <c r="N5" s="30"/>
      <c r="O5" s="14" t="str">
        <f t="shared" si="1"/>
        <v>Not Quoted</v>
      </c>
      <c r="P5" s="25"/>
      <c r="Q5" s="25"/>
    </row>
    <row r="6" spans="1:17" x14ac:dyDescent="0.2">
      <c r="A6" s="20" t="s">
        <v>105</v>
      </c>
      <c r="B6" s="21"/>
      <c r="C6" s="22"/>
      <c r="D6" s="23"/>
      <c r="E6" s="24"/>
      <c r="F6" s="25"/>
      <c r="G6" s="26" t="s">
        <v>106</v>
      </c>
      <c r="H6" s="27"/>
      <c r="I6" s="28"/>
      <c r="J6" s="28"/>
      <c r="K6" s="29" t="str">
        <f t="shared" si="0"/>
        <v/>
      </c>
      <c r="L6" s="24"/>
      <c r="M6" s="21"/>
      <c r="N6" s="30"/>
      <c r="O6" s="27" t="str">
        <f t="shared" si="1"/>
        <v>Not Quoted</v>
      </c>
      <c r="P6" s="25"/>
      <c r="Q6" s="25"/>
    </row>
    <row r="7" spans="1:17" x14ac:dyDescent="0.2">
      <c r="A7" s="20" t="s">
        <v>107</v>
      </c>
      <c r="B7" s="21"/>
      <c r="C7" s="22"/>
      <c r="D7" s="23"/>
      <c r="E7" s="24"/>
      <c r="F7" s="25"/>
      <c r="G7" s="26" t="s">
        <v>108</v>
      </c>
      <c r="H7" s="27" t="s">
        <v>43</v>
      </c>
      <c r="I7" s="28"/>
      <c r="J7" s="28"/>
      <c r="K7" s="29" t="str">
        <f t="shared" si="0"/>
        <v/>
      </c>
      <c r="L7" s="24"/>
      <c r="M7" s="21"/>
      <c r="N7" s="30"/>
      <c r="O7" s="27" t="str">
        <f t="shared" si="1"/>
        <v>Not Quoted</v>
      </c>
      <c r="P7" s="25"/>
      <c r="Q7" s="25"/>
    </row>
    <row r="8" spans="1:17" x14ac:dyDescent="0.2">
      <c r="A8" s="13" t="s">
        <v>109</v>
      </c>
      <c r="B8" s="21"/>
      <c r="C8" s="22"/>
      <c r="D8" s="23"/>
      <c r="E8" s="24"/>
      <c r="F8" s="25"/>
      <c r="G8" s="16" t="s">
        <v>108</v>
      </c>
      <c r="H8" s="14" t="s">
        <v>43</v>
      </c>
      <c r="I8" s="28"/>
      <c r="J8" s="28"/>
      <c r="K8" s="17" t="str">
        <f t="shared" si="0"/>
        <v/>
      </c>
      <c r="L8" s="24"/>
      <c r="M8" s="21"/>
      <c r="N8" s="30"/>
      <c r="O8" s="14" t="str">
        <f t="shared" si="1"/>
        <v>Not Quoted</v>
      </c>
      <c r="P8" s="25"/>
      <c r="Q8" s="25"/>
    </row>
    <row r="9" spans="1:17" x14ac:dyDescent="0.2">
      <c r="A9" s="20" t="s">
        <v>110</v>
      </c>
      <c r="B9" s="21"/>
      <c r="C9" s="22"/>
      <c r="D9" s="23"/>
      <c r="E9" s="24"/>
      <c r="F9" s="25"/>
      <c r="G9" s="26" t="s">
        <v>111</v>
      </c>
      <c r="H9" s="27" t="s">
        <v>42</v>
      </c>
      <c r="I9" s="28"/>
      <c r="J9" s="28"/>
      <c r="K9" s="29" t="str">
        <f t="shared" si="0"/>
        <v/>
      </c>
      <c r="L9" s="24"/>
      <c r="M9" s="21"/>
      <c r="N9" s="30"/>
      <c r="O9" s="27" t="str">
        <f t="shared" si="1"/>
        <v>Not Quoted</v>
      </c>
      <c r="P9" s="25"/>
      <c r="Q9" s="25"/>
    </row>
    <row r="10" spans="1:17" x14ac:dyDescent="0.2">
      <c r="A10" s="13" t="s">
        <v>112</v>
      </c>
      <c r="B10" s="21"/>
      <c r="C10" s="22"/>
      <c r="D10" s="23"/>
      <c r="E10" s="24"/>
      <c r="F10" s="25"/>
      <c r="G10" s="16" t="s">
        <v>113</v>
      </c>
      <c r="H10" s="14" t="s">
        <v>43</v>
      </c>
      <c r="I10" s="28"/>
      <c r="J10" s="28"/>
      <c r="K10" s="17" t="str">
        <f t="shared" si="0"/>
        <v/>
      </c>
      <c r="L10" s="24"/>
      <c r="M10" s="21"/>
      <c r="N10" s="30"/>
      <c r="O10" s="14" t="str">
        <f t="shared" si="1"/>
        <v>Not Quoted</v>
      </c>
      <c r="P10" s="25"/>
      <c r="Q10" s="25"/>
    </row>
    <row r="11" spans="1:17" x14ac:dyDescent="0.2">
      <c r="A11" s="20" t="s">
        <v>114</v>
      </c>
      <c r="B11" s="21"/>
      <c r="C11" s="22"/>
      <c r="D11" s="23"/>
      <c r="E11" s="24"/>
      <c r="F11" s="25"/>
      <c r="G11" s="26" t="s">
        <v>115</v>
      </c>
      <c r="H11" s="27" t="s">
        <v>41</v>
      </c>
      <c r="I11" s="28"/>
      <c r="J11" s="28"/>
      <c r="K11" s="29" t="str">
        <f t="shared" si="0"/>
        <v/>
      </c>
      <c r="L11" s="24"/>
      <c r="M11" s="21"/>
      <c r="N11" s="30"/>
      <c r="O11" s="27" t="str">
        <f t="shared" si="1"/>
        <v>Not Quoted</v>
      </c>
      <c r="P11" s="25"/>
      <c r="Q11" s="25"/>
    </row>
    <row r="12" spans="1:17" x14ac:dyDescent="0.2">
      <c r="A12" s="13" t="s">
        <v>116</v>
      </c>
      <c r="B12" s="21"/>
      <c r="C12" s="22"/>
      <c r="D12" s="23"/>
      <c r="E12" s="24"/>
      <c r="F12" s="25"/>
      <c r="G12" s="16" t="s">
        <v>117</v>
      </c>
      <c r="H12" s="14" t="s">
        <v>42</v>
      </c>
      <c r="I12" s="28"/>
      <c r="J12" s="28"/>
      <c r="K12" s="17" t="str">
        <f t="shared" si="0"/>
        <v/>
      </c>
      <c r="L12" s="24"/>
      <c r="M12" s="21"/>
      <c r="N12" s="30"/>
      <c r="O12" s="14" t="str">
        <f t="shared" si="1"/>
        <v>Not Quoted</v>
      </c>
      <c r="P12" s="25"/>
      <c r="Q12" s="25"/>
    </row>
    <row r="13" spans="1:17" x14ac:dyDescent="0.2">
      <c r="A13" s="20" t="s">
        <v>118</v>
      </c>
      <c r="B13" s="21"/>
      <c r="C13" s="22"/>
      <c r="D13" s="23"/>
      <c r="E13" s="24"/>
      <c r="F13" s="25"/>
      <c r="G13" s="26" t="s">
        <v>99</v>
      </c>
      <c r="H13" s="27" t="s">
        <v>43</v>
      </c>
      <c r="I13" s="28"/>
      <c r="J13" s="28"/>
      <c r="K13" s="29" t="str">
        <f t="shared" si="0"/>
        <v/>
      </c>
      <c r="L13" s="24"/>
      <c r="M13" s="21"/>
      <c r="N13" s="30"/>
      <c r="O13" s="27" t="str">
        <f t="shared" si="1"/>
        <v>Not Quoted</v>
      </c>
      <c r="P13" s="25"/>
      <c r="Q13" s="25"/>
    </row>
    <row r="14" spans="1:17" x14ac:dyDescent="0.2">
      <c r="A14" s="13" t="s">
        <v>119</v>
      </c>
      <c r="B14" s="21"/>
      <c r="C14" s="22"/>
      <c r="D14" s="23"/>
      <c r="E14" s="24"/>
      <c r="F14" s="25"/>
      <c r="G14" s="16" t="s">
        <v>120</v>
      </c>
      <c r="H14" s="14" t="s">
        <v>43</v>
      </c>
      <c r="I14" s="28"/>
      <c r="J14" s="28"/>
      <c r="K14" s="17" t="str">
        <f t="shared" si="0"/>
        <v/>
      </c>
      <c r="L14" s="24"/>
      <c r="M14" s="21"/>
      <c r="N14" s="30"/>
      <c r="O14" s="14" t="str">
        <f t="shared" si="1"/>
        <v>Not Quoted</v>
      </c>
      <c r="P14" s="25"/>
      <c r="Q14" s="25"/>
    </row>
    <row r="15" spans="1:17" x14ac:dyDescent="0.2">
      <c r="A15" s="20" t="s">
        <v>121</v>
      </c>
      <c r="B15" s="21"/>
      <c r="C15" s="22"/>
      <c r="D15" s="23"/>
      <c r="E15" s="24"/>
      <c r="F15" s="25"/>
      <c r="G15" s="26" t="s">
        <v>122</v>
      </c>
      <c r="H15" s="27" t="s">
        <v>42</v>
      </c>
      <c r="I15" s="28"/>
      <c r="J15" s="28"/>
      <c r="K15" s="29" t="str">
        <f t="shared" si="0"/>
        <v/>
      </c>
      <c r="L15" s="24"/>
      <c r="M15" s="21"/>
      <c r="N15" s="30"/>
      <c r="O15" s="27" t="str">
        <f t="shared" si="1"/>
        <v>Not Quoted</v>
      </c>
      <c r="P15" s="25"/>
      <c r="Q15" s="25"/>
    </row>
    <row r="16" spans="1:17" x14ac:dyDescent="0.2">
      <c r="A16" s="13" t="s">
        <v>123</v>
      </c>
      <c r="B16" s="21"/>
      <c r="C16" s="22"/>
      <c r="D16" s="23"/>
      <c r="E16" s="24"/>
      <c r="F16" s="25"/>
      <c r="G16" s="16" t="s">
        <v>124</v>
      </c>
      <c r="H16" s="14" t="s">
        <v>42</v>
      </c>
      <c r="I16" s="28"/>
      <c r="J16" s="28"/>
      <c r="K16" s="17" t="str">
        <f t="shared" si="0"/>
        <v/>
      </c>
      <c r="L16" s="24"/>
      <c r="M16" s="21"/>
      <c r="N16" s="30"/>
      <c r="O16" s="14" t="str">
        <f t="shared" si="1"/>
        <v>Not Quoted</v>
      </c>
      <c r="P16" s="25"/>
      <c r="Q16" s="25"/>
    </row>
    <row r="17" spans="1:17" x14ac:dyDescent="0.2">
      <c r="A17" s="13" t="s">
        <v>125</v>
      </c>
      <c r="B17" s="21"/>
      <c r="C17" s="22"/>
      <c r="D17" s="23"/>
      <c r="E17" s="24"/>
      <c r="F17" s="25"/>
      <c r="G17" s="16"/>
      <c r="H17" s="14"/>
      <c r="I17" s="28"/>
      <c r="J17" s="28"/>
      <c r="K17" s="17" t="str">
        <f t="shared" si="0"/>
        <v/>
      </c>
      <c r="L17" s="24"/>
      <c r="M17" s="21"/>
      <c r="N17" s="30"/>
      <c r="O17" s="14" t="str">
        <f t="shared" si="1"/>
        <v>Not Quoted</v>
      </c>
      <c r="P17" s="25"/>
      <c r="Q17" s="25"/>
    </row>
    <row r="18" spans="1:17" ht="75" customHeight="1" x14ac:dyDescent="0.2">
      <c r="A18" s="38" t="s">
        <v>126</v>
      </c>
      <c r="B18" s="21" t="s">
        <v>160</v>
      </c>
      <c r="C18" s="39" t="s">
        <v>31</v>
      </c>
      <c r="D18" s="57" t="s">
        <v>159</v>
      </c>
      <c r="E18" s="24"/>
      <c r="F18" s="40" t="s">
        <v>33</v>
      </c>
      <c r="G18" s="41" t="s">
        <v>127</v>
      </c>
      <c r="H18" s="16"/>
      <c r="I18" s="14">
        <v>84000</v>
      </c>
      <c r="J18" s="17">
        <v>25000</v>
      </c>
      <c r="K18" s="17">
        <f t="shared" si="0"/>
        <v>59000</v>
      </c>
      <c r="L18" s="17"/>
      <c r="M18" s="14"/>
      <c r="N18" s="14"/>
      <c r="O18" s="18" t="str">
        <f t="shared" si="1"/>
        <v>Pending</v>
      </c>
      <c r="P18" s="16"/>
      <c r="Q18" s="46"/>
    </row>
    <row r="19" spans="1:17" x14ac:dyDescent="0.2">
      <c r="A19" s="31" t="s">
        <v>20</v>
      </c>
      <c r="B19" s="32"/>
      <c r="C19" s="32"/>
      <c r="D19" s="32"/>
      <c r="E19" s="32"/>
      <c r="F19" s="32"/>
      <c r="G19" s="32"/>
      <c r="H19" s="32"/>
      <c r="I19" s="33">
        <f>SUM(I4:I18)</f>
        <v>125000</v>
      </c>
      <c r="J19" s="33">
        <f>SUM(J4:J18)</f>
        <v>36000</v>
      </c>
      <c r="K19" s="33">
        <f>SUM(K4:K18)</f>
        <v>89000</v>
      </c>
      <c r="L19" s="32"/>
      <c r="M19" s="32"/>
      <c r="N19" s="32"/>
      <c r="O19" s="32"/>
      <c r="P19" s="32"/>
      <c r="Q19" s="32"/>
    </row>
    <row r="21" spans="1:17" x14ac:dyDescent="0.2">
      <c r="A21" s="43" t="s">
        <v>128</v>
      </c>
    </row>
    <row r="22" spans="1:17" x14ac:dyDescent="0.2">
      <c r="A22" s="3" t="s">
        <v>129</v>
      </c>
      <c r="B22" s="34">
        <f>I19</f>
        <v>125000</v>
      </c>
    </row>
    <row r="23" spans="1:17" x14ac:dyDescent="0.2">
      <c r="A23" s="3" t="s">
        <v>130</v>
      </c>
      <c r="B23" s="34">
        <f>J19</f>
        <v>36000</v>
      </c>
    </row>
    <row r="24" spans="1:17" x14ac:dyDescent="0.2">
      <c r="A24" s="3" t="s">
        <v>131</v>
      </c>
      <c r="B24" s="34">
        <f>K19</f>
        <v>89000</v>
      </c>
    </row>
    <row r="25" spans="1:17" x14ac:dyDescent="0.2">
      <c r="A25" s="3" t="s">
        <v>132</v>
      </c>
      <c r="B25" s="35">
        <f>COUNTIF(O4:O18,"Pending")</f>
        <v>2</v>
      </c>
    </row>
    <row r="26" spans="1:17" x14ac:dyDescent="0.2">
      <c r="A26" s="3" t="s">
        <v>133</v>
      </c>
      <c r="B26" s="35">
        <f>COUNTIF(O4:O18,"Paid")</f>
        <v>0</v>
      </c>
    </row>
    <row r="27" spans="1:17" x14ac:dyDescent="0.2">
      <c r="A27" s="3" t="s">
        <v>134</v>
      </c>
      <c r="B27" s="35">
        <f>COUNTIF(O4:O18,"Not Quoted")</f>
        <v>13</v>
      </c>
    </row>
    <row r="29" spans="1:17" x14ac:dyDescent="0.2">
      <c r="A29" s="50" t="s">
        <v>135</v>
      </c>
      <c r="B29" s="49"/>
      <c r="C29" s="49"/>
      <c r="D29" s="49"/>
      <c r="E29" s="49"/>
      <c r="F29" s="49"/>
      <c r="G29" s="49"/>
      <c r="H29" s="49"/>
      <c r="I29" s="49"/>
      <c r="J29" s="49"/>
      <c r="K29" s="49"/>
      <c r="L29" s="49"/>
      <c r="M29" s="49"/>
      <c r="N29" s="49"/>
      <c r="O29" s="49"/>
      <c r="P29" s="49"/>
      <c r="Q29" s="49"/>
    </row>
    <row r="30" spans="1:17" x14ac:dyDescent="0.2">
      <c r="A30" s="50" t="s">
        <v>136</v>
      </c>
      <c r="B30" s="49"/>
      <c r="C30" s="49"/>
      <c r="D30" s="49"/>
      <c r="E30" s="49"/>
      <c r="F30" s="49"/>
      <c r="G30" s="49"/>
      <c r="H30" s="49"/>
      <c r="I30" s="49"/>
      <c r="J30" s="49"/>
      <c r="K30" s="49"/>
      <c r="L30" s="49"/>
      <c r="M30" s="49"/>
      <c r="N30" s="49"/>
      <c r="O30" s="49"/>
      <c r="P30" s="49"/>
      <c r="Q30" s="49"/>
    </row>
    <row r="31" spans="1:17" x14ac:dyDescent="0.2">
      <c r="A31" s="50" t="s">
        <v>137</v>
      </c>
      <c r="B31" s="49"/>
      <c r="C31" s="49"/>
      <c r="D31" s="49"/>
      <c r="E31" s="49"/>
      <c r="F31" s="49"/>
      <c r="G31" s="49"/>
      <c r="H31" s="49"/>
      <c r="I31" s="49"/>
      <c r="J31" s="49"/>
      <c r="K31" s="49"/>
      <c r="L31" s="49"/>
      <c r="M31" s="49"/>
      <c r="N31" s="49"/>
      <c r="O31" s="49"/>
      <c r="P31" s="49"/>
      <c r="Q31" s="49"/>
    </row>
    <row r="32" spans="1:17" x14ac:dyDescent="0.2">
      <c r="A32" s="50" t="s">
        <v>138</v>
      </c>
      <c r="B32" s="49"/>
      <c r="C32" s="49"/>
      <c r="D32" s="49"/>
      <c r="E32" s="49"/>
      <c r="F32" s="49"/>
      <c r="G32" s="49"/>
      <c r="H32" s="49"/>
      <c r="I32" s="49"/>
      <c r="J32" s="49"/>
      <c r="K32" s="49"/>
      <c r="L32" s="49"/>
      <c r="M32" s="49"/>
      <c r="N32" s="49"/>
      <c r="O32" s="49"/>
      <c r="P32" s="49"/>
      <c r="Q32" s="49"/>
    </row>
    <row r="33" spans="1:17" x14ac:dyDescent="0.2">
      <c r="A33" s="50" t="s">
        <v>139</v>
      </c>
      <c r="B33" s="49"/>
      <c r="C33" s="49"/>
      <c r="D33" s="49"/>
      <c r="E33" s="49"/>
      <c r="F33" s="49"/>
      <c r="G33" s="49"/>
      <c r="H33" s="49"/>
      <c r="I33" s="49"/>
      <c r="J33" s="49"/>
      <c r="K33" s="49"/>
      <c r="L33" s="49"/>
      <c r="M33" s="49"/>
      <c r="N33" s="49"/>
      <c r="O33" s="49"/>
      <c r="P33" s="49"/>
      <c r="Q33" s="49"/>
    </row>
    <row r="34" spans="1:17" x14ac:dyDescent="0.2">
      <c r="A34" s="42"/>
    </row>
    <row r="39" spans="1:17" ht="24" customHeight="1" x14ac:dyDescent="0.2"/>
    <row r="40" spans="1:17" ht="24" customHeight="1" x14ac:dyDescent="0.2"/>
    <row r="41" spans="1:17" ht="24" customHeight="1" x14ac:dyDescent="0.2"/>
    <row r="42" spans="1:17" ht="24" customHeight="1" x14ac:dyDescent="0.2"/>
  </sheetData>
  <autoFilter ref="A3:Q18" xr:uid="{00000000-0009-0000-0000-000002000000}"/>
  <mergeCells count="5">
    <mergeCell ref="A30:Q30"/>
    <mergeCell ref="A29:Q29"/>
    <mergeCell ref="A33:Q33"/>
    <mergeCell ref="A32:Q32"/>
    <mergeCell ref="A31:Q31"/>
  </mergeCells>
  <conditionalFormatting sqref="K4:K17">
    <cfRule type="cellIs" dxfId="3" priority="2" operator="greaterThan">
      <formula>0</formula>
    </cfRule>
  </conditionalFormatting>
  <conditionalFormatting sqref="O4:O17">
    <cfRule type="cellIs" dxfId="2" priority="3" operator="equal">
      <formula>"Paid"</formula>
    </cfRule>
    <cfRule type="cellIs" dxfId="1" priority="4" operator="equal">
      <formula>"Pending"</formula>
    </cfRule>
  </conditionalFormatting>
  <conditionalFormatting sqref="L18">
    <cfRule type="cellIs" dxfId="0" priority="1" operator="greaterThan">
      <formula>0</formula>
    </cfRule>
  </conditionalFormatting>
  <dataValidations count="1">
    <dataValidation type="list" allowBlank="1" sqref="L4:L18" xr:uid="{00000000-0002-0000-0200-000000000000}">
      <formula1>"Cash,UPI,Bank Transfer,Card,Cheque,Other"</formula1>
    </dataValidation>
  </dataValidations>
  <hyperlinks>
    <hyperlink ref="P4" r:id="rId1" xr:uid="{00000000-0004-0000-0200-00000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5"/>
  <sheetViews>
    <sheetView showGridLines="0" zoomScale="136" workbookViewId="0">
      <pane ySplit="6" topLeftCell="A7" activePane="bottomLeft" state="frozen"/>
      <selection pane="bottomLeft" sqref="A1:E1"/>
    </sheetView>
  </sheetViews>
  <sheetFormatPr baseColWidth="10" defaultColWidth="8.83203125" defaultRowHeight="15" x14ac:dyDescent="0.2"/>
  <cols>
    <col min="1" max="1" width="34" customWidth="1"/>
    <col min="2" max="2" width="10" customWidth="1"/>
    <col min="3" max="4" width="14" customWidth="1"/>
    <col min="5" max="5" width="4" customWidth="1"/>
  </cols>
  <sheetData>
    <row r="1" spans="1:5" ht="21" customHeight="1" x14ac:dyDescent="0.25">
      <c r="A1" s="52" t="s">
        <v>140</v>
      </c>
      <c r="B1" s="49"/>
      <c r="C1" s="49"/>
      <c r="D1" s="49"/>
      <c r="E1" s="49"/>
    </row>
    <row r="2" spans="1:5" x14ac:dyDescent="0.2">
      <c r="A2" s="51" t="s">
        <v>141</v>
      </c>
      <c r="B2" s="49"/>
      <c r="C2" s="49"/>
      <c r="D2" s="49"/>
      <c r="E2" s="49"/>
    </row>
    <row r="3" spans="1:5" x14ac:dyDescent="0.2">
      <c r="A3" s="50" t="s">
        <v>142</v>
      </c>
      <c r="B3" s="49"/>
      <c r="C3" s="49"/>
      <c r="D3" s="49"/>
      <c r="E3" s="49"/>
    </row>
    <row r="5" spans="1:5" x14ac:dyDescent="0.2">
      <c r="A5" s="48" t="s">
        <v>143</v>
      </c>
      <c r="B5" s="49"/>
      <c r="C5" s="49"/>
      <c r="D5" s="49"/>
      <c r="E5" s="49"/>
    </row>
    <row r="6" spans="1:5" x14ac:dyDescent="0.2">
      <c r="A6" s="5" t="s">
        <v>144</v>
      </c>
      <c r="B6" s="5" t="s">
        <v>145</v>
      </c>
      <c r="C6" s="5" t="s">
        <v>146</v>
      </c>
      <c r="D6" s="5" t="s">
        <v>147</v>
      </c>
    </row>
    <row r="7" spans="1:5" x14ac:dyDescent="0.2">
      <c r="A7" s="14" t="s">
        <v>148</v>
      </c>
      <c r="B7" s="34">
        <v>1</v>
      </c>
      <c r="C7" s="34">
        <v>25000</v>
      </c>
      <c r="D7" s="34">
        <v>25000</v>
      </c>
    </row>
    <row r="8" spans="1:5" x14ac:dyDescent="0.2">
      <c r="A8" s="14" t="s">
        <v>149</v>
      </c>
      <c r="B8" s="34">
        <v>8</v>
      </c>
      <c r="C8" s="34">
        <v>2000</v>
      </c>
      <c r="D8" s="34">
        <v>16000</v>
      </c>
    </row>
    <row r="9" spans="1:5" x14ac:dyDescent="0.2">
      <c r="A9" s="14" t="s">
        <v>150</v>
      </c>
      <c r="B9" s="34">
        <v>2</v>
      </c>
      <c r="C9" s="34">
        <v>2000</v>
      </c>
      <c r="D9" s="34">
        <v>4000</v>
      </c>
    </row>
    <row r="10" spans="1:5" x14ac:dyDescent="0.2">
      <c r="A10" s="36" t="s">
        <v>151</v>
      </c>
      <c r="D10" s="37">
        <v>45000</v>
      </c>
    </row>
    <row r="11" spans="1:5" x14ac:dyDescent="0.2">
      <c r="A11" s="36" t="s">
        <v>152</v>
      </c>
      <c r="D11" s="37">
        <v>-4000</v>
      </c>
    </row>
    <row r="12" spans="1:5" x14ac:dyDescent="0.2">
      <c r="A12" s="36" t="s">
        <v>147</v>
      </c>
      <c r="D12" s="44">
        <v>41000</v>
      </c>
    </row>
    <row r="13" spans="1:5" x14ac:dyDescent="0.2">
      <c r="A13" s="36" t="s">
        <v>153</v>
      </c>
      <c r="D13" s="37">
        <v>11000</v>
      </c>
    </row>
    <row r="14" spans="1:5" x14ac:dyDescent="0.2">
      <c r="A14" s="36" t="s">
        <v>24</v>
      </c>
      <c r="D14" s="44">
        <v>30000</v>
      </c>
    </row>
    <row r="16" spans="1:5" x14ac:dyDescent="0.2">
      <c r="A16" s="48" t="s">
        <v>154</v>
      </c>
      <c r="B16" s="49"/>
      <c r="C16" s="49"/>
      <c r="D16" s="49"/>
      <c r="E16" s="49"/>
    </row>
    <row r="17" spans="1:5" x14ac:dyDescent="0.2">
      <c r="A17" s="50" t="s">
        <v>155</v>
      </c>
      <c r="B17" s="49"/>
      <c r="C17" s="49"/>
      <c r="D17" s="49"/>
      <c r="E17" s="49"/>
    </row>
    <row r="18" spans="1:5" x14ac:dyDescent="0.2">
      <c r="A18" s="48" t="s">
        <v>156</v>
      </c>
      <c r="B18" s="49"/>
      <c r="C18" s="49"/>
      <c r="D18" s="49"/>
      <c r="E18" s="49"/>
    </row>
    <row r="19" spans="1:5" x14ac:dyDescent="0.2">
      <c r="A19" s="45" t="s">
        <v>101</v>
      </c>
    </row>
    <row r="21" spans="1:5" x14ac:dyDescent="0.2">
      <c r="A21" s="50" t="s">
        <v>157</v>
      </c>
      <c r="B21" s="49"/>
      <c r="C21" s="49"/>
      <c r="D21" s="49"/>
      <c r="E21" s="49"/>
    </row>
    <row r="35" spans="1:1" x14ac:dyDescent="0.2">
      <c r="A35" s="42"/>
    </row>
  </sheetData>
  <mergeCells count="8">
    <mergeCell ref="A21:E21"/>
    <mergeCell ref="A16:E16"/>
    <mergeCell ref="A2:E2"/>
    <mergeCell ref="A5:E5"/>
    <mergeCell ref="A1:E1"/>
    <mergeCell ref="A17:E17"/>
    <mergeCell ref="A18:E18"/>
    <mergeCell ref="A3:E3"/>
  </mergeCells>
  <hyperlinks>
    <hyperlink ref="A19" r:id="rId1" xr:uid="{00000000-0004-0000-0300-000000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x14ac:dyDescent="0.2"/>
  <cols>
    <col min="1" max="1" width="30" customWidth="1"/>
    <col min="2" max="2" width="10" customWidth="1"/>
    <col min="3" max="3" width="14" customWidth="1"/>
    <col min="4" max="4" width="46" customWidth="1"/>
    <col min="5" max="5" width="4" customWidth="1"/>
  </cols>
  <sheetData>
    <row r="1" spans="1:5" ht="21" customHeight="1" x14ac:dyDescent="0.25">
      <c r="A1" s="52" t="s">
        <v>0</v>
      </c>
      <c r="B1" s="49"/>
      <c r="C1" s="49"/>
      <c r="D1" s="49"/>
      <c r="E1" s="49"/>
    </row>
    <row r="2" spans="1:5" x14ac:dyDescent="0.2">
      <c r="A2" s="51" t="s">
        <v>1</v>
      </c>
      <c r="B2" s="49"/>
      <c r="C2" s="49"/>
      <c r="D2" s="49"/>
      <c r="E2" s="49"/>
    </row>
    <row r="3" spans="1:5" x14ac:dyDescent="0.2">
      <c r="A3" s="50" t="s">
        <v>2</v>
      </c>
      <c r="B3" s="49"/>
      <c r="C3" s="49"/>
      <c r="D3" s="49"/>
      <c r="E3" s="49"/>
    </row>
    <row r="5" spans="1:5" x14ac:dyDescent="0.2">
      <c r="A5" s="48" t="s">
        <v>3</v>
      </c>
      <c r="B5" s="49"/>
      <c r="C5" s="49"/>
      <c r="D5" s="49"/>
      <c r="E5" s="49"/>
    </row>
    <row r="6" spans="1:5" x14ac:dyDescent="0.2">
      <c r="A6" s="14" t="s">
        <v>4</v>
      </c>
      <c r="D6" s="34" t="s">
        <v>5</v>
      </c>
    </row>
    <row r="7" spans="1:5" x14ac:dyDescent="0.2">
      <c r="A7" s="14" t="s">
        <v>6</v>
      </c>
      <c r="D7" s="34" t="s">
        <v>7</v>
      </c>
    </row>
    <row r="8" spans="1:5" x14ac:dyDescent="0.2">
      <c r="A8" s="14" t="s">
        <v>8</v>
      </c>
      <c r="D8" s="34">
        <v>10</v>
      </c>
    </row>
    <row r="9" spans="1:5" x14ac:dyDescent="0.2">
      <c r="A9" s="14" t="s">
        <v>9</v>
      </c>
      <c r="D9" s="34">
        <v>37</v>
      </c>
    </row>
    <row r="11" spans="1:5" x14ac:dyDescent="0.2">
      <c r="A11" s="48" t="s">
        <v>10</v>
      </c>
      <c r="B11" s="49"/>
      <c r="C11" s="49"/>
      <c r="D11" s="49"/>
      <c r="E11" s="49"/>
    </row>
    <row r="12" spans="1:5" x14ac:dyDescent="0.2">
      <c r="A12" s="5" t="s">
        <v>11</v>
      </c>
      <c r="B12" s="5" t="s">
        <v>12</v>
      </c>
      <c r="C12" s="5" t="s">
        <v>13</v>
      </c>
    </row>
    <row r="13" spans="1:5" x14ac:dyDescent="0.2">
      <c r="A13" s="14" t="s">
        <v>14</v>
      </c>
      <c r="B13" s="34">
        <v>2</v>
      </c>
      <c r="C13" s="34">
        <v>2</v>
      </c>
    </row>
    <row r="14" spans="1:5" x14ac:dyDescent="0.2">
      <c r="A14" s="14" t="s">
        <v>15</v>
      </c>
      <c r="B14" s="34">
        <v>3</v>
      </c>
      <c r="C14" s="34">
        <v>3</v>
      </c>
    </row>
    <row r="15" spans="1:5" x14ac:dyDescent="0.2">
      <c r="A15" s="14" t="s">
        <v>16</v>
      </c>
      <c r="B15" s="34">
        <v>10</v>
      </c>
      <c r="C15" s="34">
        <v>10</v>
      </c>
    </row>
    <row r="16" spans="1:5" x14ac:dyDescent="0.2">
      <c r="A16" s="14" t="s">
        <v>17</v>
      </c>
      <c r="B16" s="34">
        <v>10</v>
      </c>
      <c r="C16" s="34">
        <v>10</v>
      </c>
    </row>
    <row r="17" spans="1:5" x14ac:dyDescent="0.2">
      <c r="A17" s="14" t="s">
        <v>18</v>
      </c>
      <c r="B17" s="34">
        <v>10</v>
      </c>
      <c r="C17" s="34">
        <v>10</v>
      </c>
    </row>
    <row r="18" spans="1:5" x14ac:dyDescent="0.2">
      <c r="A18" s="14" t="s">
        <v>19</v>
      </c>
      <c r="B18" s="34">
        <v>2</v>
      </c>
      <c r="C18" s="34">
        <v>2</v>
      </c>
    </row>
    <row r="19" spans="1:5" x14ac:dyDescent="0.2">
      <c r="A19" s="36" t="s">
        <v>20</v>
      </c>
      <c r="B19" s="44">
        <f>SUM(B13:B18)</f>
        <v>37</v>
      </c>
      <c r="C19" s="44">
        <f>SUM(C13:C18)</f>
        <v>37</v>
      </c>
    </row>
    <row r="21" spans="1:5" x14ac:dyDescent="0.2">
      <c r="A21" s="48" t="s">
        <v>21</v>
      </c>
      <c r="B21" s="49"/>
      <c r="C21" s="49"/>
      <c r="D21" s="49"/>
      <c r="E21" s="49"/>
    </row>
    <row r="22" spans="1:5" x14ac:dyDescent="0.2">
      <c r="A22" s="14" t="s">
        <v>22</v>
      </c>
      <c r="D22" s="34">
        <v>84000</v>
      </c>
    </row>
    <row r="23" spans="1:5" x14ac:dyDescent="0.2">
      <c r="A23" s="14" t="s">
        <v>23</v>
      </c>
      <c r="D23" s="34">
        <v>25000</v>
      </c>
    </row>
    <row r="24" spans="1:5" x14ac:dyDescent="0.2">
      <c r="A24" s="36" t="s">
        <v>24</v>
      </c>
      <c r="D24" s="44">
        <f>D22-D23</f>
        <v>59000</v>
      </c>
    </row>
    <row r="25" spans="1:5" x14ac:dyDescent="0.2">
      <c r="A25" s="14" t="s">
        <v>25</v>
      </c>
      <c r="D25" s="47">
        <f>ROUND(D22/C19,2)</f>
        <v>2270.27</v>
      </c>
    </row>
    <row r="26" spans="1:5" x14ac:dyDescent="0.2">
      <c r="A26" s="50" t="s">
        <v>26</v>
      </c>
      <c r="B26" s="49"/>
      <c r="C26" s="49"/>
      <c r="D26" s="49"/>
      <c r="E26" s="49"/>
    </row>
    <row r="28" spans="1:5" x14ac:dyDescent="0.2">
      <c r="A28" s="48" t="s">
        <v>27</v>
      </c>
      <c r="B28" s="49"/>
      <c r="C28" s="49"/>
      <c r="D28" s="49"/>
      <c r="E28" s="49"/>
    </row>
    <row r="29" spans="1:5" x14ac:dyDescent="0.2">
      <c r="A29" s="14" t="s">
        <v>28</v>
      </c>
      <c r="D29" s="34" t="s">
        <v>29</v>
      </c>
    </row>
    <row r="30" spans="1:5" x14ac:dyDescent="0.2">
      <c r="A30" s="14" t="s">
        <v>30</v>
      </c>
      <c r="D30" s="34" t="s">
        <v>31</v>
      </c>
    </row>
    <row r="31" spans="1:5" x14ac:dyDescent="0.2">
      <c r="A31" s="14" t="s">
        <v>32</v>
      </c>
      <c r="D31" s="34" t="s">
        <v>33</v>
      </c>
    </row>
    <row r="33" spans="1:5" x14ac:dyDescent="0.2">
      <c r="A33" s="50" t="s">
        <v>34</v>
      </c>
      <c r="B33" s="49"/>
      <c r="C33" s="49"/>
      <c r="D33" s="49"/>
      <c r="E33" s="49"/>
    </row>
  </sheetData>
  <mergeCells count="9">
    <mergeCell ref="A1:E1"/>
    <mergeCell ref="A5:E5"/>
    <mergeCell ref="A3:E3"/>
    <mergeCell ref="A21:E21"/>
    <mergeCell ref="A26:E26"/>
    <mergeCell ref="A2:E2"/>
    <mergeCell ref="A28:E28"/>
    <mergeCell ref="A33:E33"/>
    <mergeCell ref="A11:E1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Nirmal</vt:lpstr>
      <vt:lpstr>Amarai</vt:lpstr>
      <vt:lpstr>Vendors</vt:lpstr>
      <vt:lpstr>Deeplaxmie Events</vt:lpstr>
      <vt:lpstr>Nirmal's Executive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Suraj Singh</cp:lastModifiedBy>
  <dcterms:created xsi:type="dcterms:W3CDTF">2026-09-28T14:26:10Z</dcterms:created>
  <dcterms:modified xsi:type="dcterms:W3CDTF">2026-09-28T14:56:45Z</dcterms:modified>
</cp:coreProperties>
</file>