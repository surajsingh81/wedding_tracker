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7160" tabRatio="600" firstSheet="0" activeTab="2" autoFilterDateGrouping="1"/>
  </bookViews>
  <sheets>
    <sheet name="Nirmal" sheetId="1" state="visible" r:id="rId1"/>
    <sheet name="Amarai" sheetId="2" state="visible" r:id="rId2"/>
    <sheet name="Vendors" sheetId="3" state="visible" r:id="rId3"/>
    <sheet name="Deeplaxmie Events" sheetId="4" state="visible" r:id="rId4"/>
    <sheet name="Nirmal's Executive" sheetId="5" state="visible" r:id="rId5"/>
  </sheets>
  <definedNames>
    <definedName name="_xlnm._FilterDatabase" localSheetId="2" hidden="1">'Vendors'!$A$3:$Q$18</definedName>
  </definedNames>
  <calcPr calcId="191029" fullCalcOnLoad="1"/>
</workbook>
</file>

<file path=xl/styles.xml><?xml version="1.0" encoding="utf-8"?>
<styleSheet xmlns="http://schemas.openxmlformats.org/spreadsheetml/2006/main">
  <numFmts count="1">
    <numFmt numFmtId="164" formatCode="dd\-mmm\-yyyy"/>
  </numFmts>
  <fonts count="14">
    <font>
      <name val="Calibri"/>
      <family val="2"/>
      <color theme="1"/>
      <sz val="11"/>
      <scheme val="minor"/>
    </font>
    <font>
      <name val="Calibri"/>
      <family val="2"/>
      <b val="1"/>
      <color rgb="FF1F3864"/>
      <sz val="16"/>
    </font>
    <font>
      <name val="Calibri"/>
      <family val="2"/>
      <i val="1"/>
      <color rgb="FF595959"/>
      <sz val="10"/>
    </font>
    <font>
      <name val="Calibri"/>
      <family val="2"/>
      <b val="1"/>
      <color rgb="FFFFFFFF"/>
      <sz val="11"/>
    </font>
    <font>
      <name val="Calibri"/>
      <family val="2"/>
      <b val="1"/>
      <sz val="10"/>
    </font>
    <font>
      <name val="Calibri"/>
      <family val="2"/>
      <sz val="10"/>
    </font>
    <font>
      <name val="Calibri"/>
      <family val="2"/>
      <b val="1"/>
      <color rgb="FFFFFFFF"/>
      <sz val="10"/>
    </font>
    <font>
      <name val="Calibri"/>
      <family val="2"/>
      <b val="1"/>
      <color rgb="FF1F3864"/>
      <sz val="10"/>
    </font>
    <font>
      <name val="Calibri"/>
      <family val="2"/>
      <i val="1"/>
      <color rgb="FF595959"/>
      <sz val="9"/>
    </font>
    <font>
      <name val="Calibri"/>
      <family val="2"/>
      <color rgb="FF0563C1"/>
      <sz val="10"/>
      <u val="single"/>
    </font>
    <font>
      <name val="Calibri"/>
      <family val="2"/>
      <sz val="10"/>
    </font>
    <font>
      <name val="Calibri"/>
      <b val="1"/>
      <sz val="10"/>
    </font>
    <font>
      <name val="Calibri"/>
      <color rgb="FF0563C1"/>
      <sz val="10"/>
      <u val="single"/>
    </font>
    <font>
      <name val="Calibri"/>
      <family val="2"/>
      <sz val="10"/>
      <scheme val="minor"/>
    </font>
  </fonts>
  <fills count="9">
    <fill>
      <patternFill/>
    </fill>
    <fill>
      <patternFill patternType="gray125"/>
    </fill>
    <fill>
      <patternFill patternType="solid">
        <fgColor rgb="FF2E5C8A"/>
      </patternFill>
    </fill>
    <fill>
      <patternFill patternType="solid">
        <fgColor rgb="FF1F3864"/>
      </patternFill>
    </fill>
    <fill>
      <patternFill patternType="solid">
        <fgColor rgb="FFFFF2CC"/>
      </patternFill>
    </fill>
    <fill>
      <patternFill patternType="solid">
        <fgColor rgb="FFDCE6F1"/>
      </patternFill>
    </fill>
    <fill>
      <patternFill patternType="solid">
        <fgColor rgb="FFFFFFFF"/>
      </patternFill>
    </fill>
    <fill>
      <patternFill patternType="solid">
        <fgColor rgb="FFF2F6FA"/>
      </patternFill>
    </fill>
    <fill>
      <patternFill patternType="solid">
        <fgColor rgb="FFFFFFFF"/>
        <bgColor rgb="FF000000"/>
      </patternFill>
    </fill>
  </fills>
  <borders count="6">
    <border>
      <left/>
      <right/>
      <top/>
      <bottom/>
      <diagonal/>
    </border>
    <border>
      <left style="thin">
        <color rgb="FFB7C4D4"/>
      </left>
      <right style="thin">
        <color rgb="FFB7C4D4"/>
      </right>
      <top style="thin">
        <color rgb="FFB7C4D4"/>
      </top>
      <bottom style="thin">
        <color rgb="FFB7C4D4"/>
      </bottom>
      <diagonal/>
    </border>
    <border>
      <left style="thin">
        <color rgb="FFB7C4D4"/>
      </left>
      <right style="thin">
        <color rgb="FFB7C4D4"/>
      </right>
      <top style="thin">
        <color rgb="FFB7C4D4"/>
      </top>
      <bottom style="thin">
        <color rgb="FFB7C4D4"/>
      </bottom>
      <diagonal/>
    </border>
    <border>
      <left/>
      <right style="thin">
        <color rgb="FFB7C4D4"/>
      </right>
      <top style="thin">
        <color rgb="FFB7C4D4"/>
      </top>
      <bottom style="thin">
        <color rgb="FFB7C4D4"/>
      </bottom>
      <diagonal/>
    </border>
    <border>
      <left/>
      <right/>
      <top style="thin">
        <color rgb="FFB7C4D4"/>
      </top>
      <bottom/>
      <diagonal/>
    </border>
    <border>
      <left/>
      <right style="thin">
        <color rgb="FFB7C4D4"/>
      </right>
      <top style="thin">
        <color rgb="FFB7C4D4"/>
      </top>
      <bottom/>
      <diagonal/>
    </border>
  </borders>
  <cellStyleXfs count="1">
    <xf numFmtId="0" fontId="0" fillId="0" borderId="0"/>
  </cellStyleXfs>
  <cellXfs count="58">
    <xf numFmtId="0" fontId="0" fillId="0" borderId="0" pivotButton="0" quotePrefix="0" xfId="0"/>
    <xf numFmtId="0" fontId="1" fillId="0" borderId="0" pivotButton="0" quotePrefix="0" xfId="0"/>
    <xf numFmtId="0" fontId="2" fillId="0" borderId="0" pivotButton="0" quotePrefix="0" xfId="0"/>
    <xf numFmtId="0" fontId="4" fillId="0" borderId="1" pivotButton="0" quotePrefix="0" xfId="0"/>
    <xf numFmtId="0" fontId="5" fillId="0" borderId="1" applyAlignment="1" pivotButton="0" quotePrefix="0" xfId="0">
      <alignment horizontal="center" vertical="center"/>
    </xf>
    <xf numFmtId="0" fontId="6" fillId="3" borderId="1" applyAlignment="1" pivotButton="0" quotePrefix="0" xfId="0">
      <alignment horizontal="center" vertical="center"/>
    </xf>
    <xf numFmtId="0" fontId="5" fillId="4" borderId="1" applyAlignment="1" pivotButton="0" quotePrefix="0" xfId="0">
      <alignment horizontal="center" vertical="center"/>
    </xf>
    <xf numFmtId="0" fontId="7" fillId="5" borderId="1" applyAlignment="1" pivotButton="0" quotePrefix="0" xfId="0">
      <alignment horizontal="center" vertical="center"/>
    </xf>
    <xf numFmtId="0" fontId="6" fillId="3" borderId="1" pivotButton="0" quotePrefix="0" xfId="0"/>
    <xf numFmtId="0" fontId="5" fillId="6" borderId="1" applyAlignment="1" pivotButton="0" quotePrefix="0" xfId="0">
      <alignment horizontal="center" vertical="center"/>
    </xf>
    <xf numFmtId="0" fontId="8" fillId="0" borderId="1" applyAlignment="1" pivotButton="0" quotePrefix="0" xfId="0">
      <alignment vertical="top" wrapText="1"/>
    </xf>
    <xf numFmtId="1" fontId="5" fillId="5" borderId="1" applyAlignment="1" pivotButton="0" quotePrefix="0" xfId="0">
      <alignment horizontal="center" vertical="center"/>
    </xf>
    <xf numFmtId="0" fontId="6" fillId="3" borderId="1" applyAlignment="1" pivotButton="0" quotePrefix="0" xfId="0">
      <alignment horizontal="center" vertical="center" wrapText="1"/>
    </xf>
    <xf numFmtId="0" fontId="4" fillId="0" borderId="1" applyAlignment="1" pivotButton="0" quotePrefix="0" xfId="0">
      <alignment vertical="top" wrapText="1"/>
    </xf>
    <xf numFmtId="0" fontId="5" fillId="0" borderId="1" applyAlignment="1" pivotButton="0" quotePrefix="0" xfId="0">
      <alignment horizontal="left" vertical="center"/>
    </xf>
    <xf numFmtId="49" fontId="5" fillId="0" borderId="1" applyAlignment="1" pivotButton="0" quotePrefix="0" xfId="0">
      <alignment horizontal="left" vertical="center"/>
    </xf>
    <xf numFmtId="0" fontId="5" fillId="0" borderId="1" applyAlignment="1" pivotButton="0" quotePrefix="0" xfId="0">
      <alignment vertical="top" wrapText="1"/>
    </xf>
    <xf numFmtId="3" fontId="5" fillId="0" borderId="1" applyAlignment="1" pivotButton="0" quotePrefix="0" xfId="0">
      <alignment horizontal="left" vertical="center"/>
    </xf>
    <xf numFmtId="164" fontId="5" fillId="0" borderId="1" applyAlignment="1" pivotButton="0" quotePrefix="0" xfId="0">
      <alignment horizontal="left" vertical="center"/>
    </xf>
    <xf numFmtId="0" fontId="9" fillId="0" borderId="1" applyAlignment="1" pivotButton="0" quotePrefix="0" xfId="0">
      <alignment vertical="top" wrapText="1"/>
    </xf>
    <xf numFmtId="0" fontId="4" fillId="7" borderId="1" applyAlignment="1" pivotButton="0" quotePrefix="0" xfId="0">
      <alignment vertical="top" wrapText="1"/>
    </xf>
    <xf numFmtId="0" fontId="0" fillId="6" borderId="1" applyAlignment="1" pivotButton="0" quotePrefix="0" xfId="0">
      <alignment horizontal="left" vertical="center"/>
    </xf>
    <xf numFmtId="49" fontId="0" fillId="6" borderId="1" applyAlignment="1" pivotButton="0" quotePrefix="0" xfId="0">
      <alignment horizontal="left" vertical="center"/>
    </xf>
    <xf numFmtId="49" fontId="5" fillId="6" borderId="1" applyAlignment="1" pivotButton="0" quotePrefix="0" xfId="0">
      <alignment horizontal="left" vertical="center"/>
    </xf>
    <xf numFmtId="0" fontId="5" fillId="6" borderId="1" applyAlignment="1" pivotButton="0" quotePrefix="0" xfId="0">
      <alignment horizontal="left" vertical="center"/>
    </xf>
    <xf numFmtId="0" fontId="0" fillId="6" borderId="1" applyAlignment="1" pivotButton="0" quotePrefix="0" xfId="0">
      <alignment vertical="top" wrapText="1"/>
    </xf>
    <xf numFmtId="0" fontId="5" fillId="7" borderId="1" applyAlignment="1" pivotButton="0" quotePrefix="0" xfId="0">
      <alignment vertical="top" wrapText="1"/>
    </xf>
    <xf numFmtId="0" fontId="5" fillId="7" borderId="1" applyAlignment="1" pivotButton="0" quotePrefix="0" xfId="0">
      <alignment horizontal="left" vertical="center"/>
    </xf>
    <xf numFmtId="3" fontId="0" fillId="6" borderId="1" applyAlignment="1" pivotButton="0" quotePrefix="0" xfId="0">
      <alignment horizontal="left" vertical="center"/>
    </xf>
    <xf numFmtId="3" fontId="5" fillId="7" borderId="1" applyAlignment="1" pivotButton="0" quotePrefix="0" xfId="0">
      <alignment horizontal="left" vertical="center"/>
    </xf>
    <xf numFmtId="164" fontId="5" fillId="6" borderId="1" applyAlignment="1" pivotButton="0" quotePrefix="0" xfId="0">
      <alignment horizontal="left" vertical="center"/>
    </xf>
    <xf numFmtId="0" fontId="7" fillId="5" borderId="1" pivotButton="0" quotePrefix="0" xfId="0"/>
    <xf numFmtId="0" fontId="0" fillId="5" borderId="1" pivotButton="0" quotePrefix="0" xfId="0"/>
    <xf numFmtId="3" fontId="7" fillId="5" borderId="1" pivotButton="0" quotePrefix="0" xfId="0"/>
    <xf numFmtId="3" fontId="5" fillId="0" borderId="1" applyAlignment="1" pivotButton="0" quotePrefix="0" xfId="0">
      <alignment horizontal="center" vertical="center"/>
    </xf>
    <xf numFmtId="1" fontId="5" fillId="0" borderId="1" applyAlignment="1" pivotButton="0" quotePrefix="0" xfId="0">
      <alignment horizontal="center" vertical="center"/>
    </xf>
    <xf numFmtId="0" fontId="7" fillId="5" borderId="1" applyAlignment="1" pivotButton="0" quotePrefix="0" xfId="0">
      <alignment horizontal="left" vertical="center"/>
    </xf>
    <xf numFmtId="3" fontId="7" fillId="5" borderId="1" applyAlignment="1" pivotButton="0" quotePrefix="0" xfId="0">
      <alignment horizontal="center" vertical="center"/>
    </xf>
    <xf numFmtId="0" fontId="4" fillId="0" borderId="2" applyAlignment="1" pivotButton="0" quotePrefix="0" xfId="0">
      <alignment horizontal="left" vertical="center" wrapText="1"/>
    </xf>
    <xf numFmtId="49" fontId="10" fillId="6" borderId="2" applyAlignment="1" pivotButton="0" quotePrefix="0" xfId="0">
      <alignment horizontal="left" vertical="center"/>
    </xf>
    <xf numFmtId="0" fontId="10" fillId="6" borderId="2" applyAlignment="1" pivotButton="0" quotePrefix="0" xfId="0">
      <alignment horizontal="left" vertical="center" wrapText="1"/>
    </xf>
    <xf numFmtId="0" fontId="10" fillId="0" borderId="2" applyAlignment="1" pivotButton="0" quotePrefix="0" xfId="0">
      <alignment horizontal="left" vertical="center" wrapText="1"/>
    </xf>
    <xf numFmtId="0" fontId="8" fillId="0" borderId="0" applyAlignment="1" pivotButton="0" quotePrefix="0" xfId="0">
      <alignment vertical="top" wrapText="1"/>
    </xf>
    <xf numFmtId="0" fontId="3" fillId="2" borderId="0" applyAlignment="1" pivotButton="0" quotePrefix="0" xfId="0">
      <alignment horizontal="left" vertical="center"/>
    </xf>
    <xf numFmtId="3" fontId="11" fillId="5" borderId="1" applyAlignment="1" pivotButton="0" quotePrefix="0" xfId="0">
      <alignment horizontal="center" vertical="center"/>
    </xf>
    <xf numFmtId="0" fontId="12" fillId="0" borderId="1" applyAlignment="1" pivotButton="0" quotePrefix="0" xfId="0">
      <alignment horizontal="left" vertical="center"/>
    </xf>
    <xf numFmtId="0" fontId="10" fillId="6" borderId="2" applyAlignment="1" pivotButton="0" quotePrefix="0" xfId="0">
      <alignment vertical="center" wrapText="1"/>
    </xf>
    <xf numFmtId="4" fontId="5" fillId="0" borderId="1" applyAlignment="1" pivotButton="0" quotePrefix="0" xfId="0">
      <alignment horizontal="center" vertical="center"/>
    </xf>
    <xf numFmtId="0" fontId="3" fillId="2" borderId="0" applyAlignment="1" pivotButton="0" quotePrefix="0" xfId="0">
      <alignment horizontal="left" vertical="center"/>
    </xf>
    <xf numFmtId="0" fontId="0" fillId="0" borderId="0" pivotButton="0" quotePrefix="0" xfId="0"/>
    <xf numFmtId="0" fontId="8" fillId="0" borderId="0" applyAlignment="1" pivotButton="0" quotePrefix="0" xfId="0">
      <alignment vertical="top" wrapText="1"/>
    </xf>
    <xf numFmtId="0" fontId="2" fillId="0" borderId="0" pivotButton="0" quotePrefix="0" xfId="0"/>
    <xf numFmtId="0" fontId="1" fillId="0" borderId="0" pivotButton="0" quotePrefix="0" xfId="0"/>
    <xf numFmtId="0" fontId="4" fillId="5" borderId="2" applyAlignment="1" pivotButton="0" quotePrefix="0" xfId="0">
      <alignment horizontal="center" vertical="center"/>
    </xf>
    <xf numFmtId="0" fontId="0" fillId="0" borderId="3" pivotButton="0" quotePrefix="0" xfId="0"/>
    <xf numFmtId="0" fontId="7" fillId="5" borderId="2" applyAlignment="1" pivotButton="0" quotePrefix="0" xfId="0">
      <alignment horizontal="center" vertical="center"/>
    </xf>
    <xf numFmtId="0" fontId="6" fillId="3" borderId="2" applyAlignment="1" pivotButton="0" quotePrefix="0" xfId="0">
      <alignment horizontal="center" vertical="center"/>
    </xf>
    <xf numFmtId="0" fontId="13" fillId="8" borderId="2" applyAlignment="1" pivotButton="0" quotePrefix="0" xfId="0">
      <alignment horizontal="center" vertical="center"/>
    </xf>
  </cellXfs>
  <cellStyles count="1">
    <cellStyle name="Normal" xfId="0" builtinId="0"/>
  </cellStyles>
  <dxfs count="10">
    <dxf>
      <fill>
        <patternFill patternType="solid">
          <fgColor rgb="FFFFF2CC"/>
        </patternFill>
      </fill>
    </dxf>
    <dxf>
      <fill>
        <patternFill patternType="solid">
          <fgColor rgb="FFFCE4E4"/>
        </patternFill>
      </fill>
    </dxf>
    <dxf>
      <fill>
        <patternFill patternType="solid">
          <fgColor rgb="FFE2EFDA"/>
        </patternFill>
      </fill>
    </dxf>
    <dxf>
      <fill>
        <patternFill patternType="solid">
          <fgColor rgb="FFFFF2CC"/>
        </patternFill>
      </fill>
    </dxf>
    <dxf>
      <fill>
        <patternFill patternType="solid">
          <fgColor rgb="FFFCE4E4"/>
        </patternFill>
      </fill>
    </dxf>
    <dxf>
      <fill>
        <patternFill patternType="solid">
          <fgColor rgb="FFFFF2CC"/>
        </patternFill>
      </fill>
    </dxf>
    <dxf>
      <fill>
        <patternFill patternType="solid">
          <fgColor rgb="FFE2EFDA"/>
        </patternFill>
      </fill>
    </dxf>
    <dxf>
      <fill>
        <patternFill patternType="solid">
          <fgColor rgb="FFFCE4E4"/>
        </patternFill>
      </fill>
    </dxf>
    <dxf>
      <fill>
        <patternFill patternType="solid">
          <fgColor rgb="FFFFF2CC"/>
        </patternFill>
      </fill>
    </dxf>
    <dxf>
      <fill>
        <patternFill patternType="solid">
          <fgColor rgb="FF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Vendor%20PDFs/Baraat-DJ-Invoice-284-11Dec2026.pdf" TargetMode="External" Id="rId1" /></Relationships>
</file>

<file path=xl/worksheets/_rels/sheet4.xml.rels><Relationships xmlns="http://schemas.openxmlformats.org/package/2006/relationships"><Relationship Type="http://schemas.openxmlformats.org/officeDocument/2006/relationships/hyperlink" Target="Vendor%20PDFs/Baraat-DJ-Invoice-284-11Dec2026.pdf" TargetMode="External" Id="rId1" /></Relationships>
</file>

<file path=xl/worksheets/sheet1.xml><?xml version="1.0" encoding="utf-8"?>
<worksheet xmlns="http://schemas.openxmlformats.org/spreadsheetml/2006/main">
  <sheetPr>
    <outlinePr summaryBelow="1" summaryRight="1"/>
    <pageSetUpPr/>
  </sheetPr>
  <dimension ref="A1:AH64"/>
  <sheetViews>
    <sheetView workbookViewId="0">
      <selection activeCell="A1" sqref="A1"/>
    </sheetView>
  </sheetViews>
  <sheetFormatPr baseColWidth="8" defaultRowHeight="15"/>
  <cols>
    <col width="30" customWidth="1" style="49" min="1" max="1"/>
    <col width="11" customWidth="1" style="49" min="2" max="2"/>
  </cols>
  <sheetData>
    <row r="1">
      <c r="A1" s="52" t="inlineStr">
        <is>
          <t>NIRMAL — ROOM PLAN BY NIGHT</t>
        </is>
      </c>
    </row>
    <row r="2">
      <c r="A2" s="51" t="inlineStr">
        <is>
          <t>Check-in 08-Dec-2026  |  Check-out 14-Dec-2026  |  10 of 10 rooms booked</t>
        </is>
      </c>
    </row>
    <row r="3"/>
    <row r="4">
      <c r="A4" s="48" t="inlineStr">
        <is>
          <t>BOOKING</t>
        </is>
      </c>
    </row>
    <row r="5">
      <c r="A5" s="3" t="inlineStr">
        <is>
          <t>Check-in</t>
        </is>
      </c>
      <c r="B5" s="4" t="inlineStr">
        <is>
          <t>08-Dec-2026</t>
        </is>
      </c>
    </row>
    <row r="6">
      <c r="A6" s="3" t="inlineStr">
        <is>
          <t>Check-out</t>
        </is>
      </c>
      <c r="B6" s="4" t="inlineStr">
        <is>
          <t>14-Dec-2026</t>
        </is>
      </c>
    </row>
    <row r="7">
      <c r="A7" s="3" t="inlineStr">
        <is>
          <t>Rooms booked</t>
        </is>
      </c>
      <c r="B7" s="4" t="n">
        <v>10</v>
      </c>
    </row>
    <row r="8">
      <c r="A8" s="3" t="inlineStr">
        <is>
          <t>Total rooms</t>
        </is>
      </c>
      <c r="B8" s="4" t="n">
        <v>10</v>
      </c>
    </row>
    <row r="9">
      <c r="A9" s="3" t="inlineStr">
        <is>
          <t>Total room-nights</t>
        </is>
      </c>
      <c r="B9" s="4" t="n">
        <v>37</v>
      </c>
    </row>
    <row r="10"/>
    <row r="11">
      <c r="A11" s="48" t="inlineStr">
        <is>
          <t>ROOMS NEEDED PER NIGHT</t>
        </is>
      </c>
    </row>
    <row r="12">
      <c r="A12" s="5" t="inlineStr">
        <is>
          <t>Date</t>
        </is>
      </c>
      <c r="B12" s="5" t="inlineStr">
        <is>
          <t>Rooms</t>
        </is>
      </c>
    </row>
    <row r="13">
      <c r="A13" s="4" t="inlineStr">
        <is>
          <t>08-Dec</t>
        </is>
      </c>
      <c r="B13" s="4" t="n">
        <v>2</v>
      </c>
    </row>
    <row r="14">
      <c r="A14" s="4" t="inlineStr">
        <is>
          <t>09-Dec</t>
        </is>
      </c>
      <c r="B14" s="4" t="n">
        <v>3</v>
      </c>
    </row>
    <row r="15">
      <c r="A15" s="4" t="inlineStr">
        <is>
          <t>10-Dec</t>
        </is>
      </c>
      <c r="B15" s="4" t="n">
        <v>10</v>
      </c>
    </row>
    <row r="16">
      <c r="A16" s="4" t="inlineStr">
        <is>
          <t>11-Dec</t>
        </is>
      </c>
      <c r="B16" s="4" t="n">
        <v>10</v>
      </c>
    </row>
    <row r="17">
      <c r="A17" s="4" t="inlineStr">
        <is>
          <t>12-Dec</t>
        </is>
      </c>
      <c r="B17" s="4" t="n">
        <v>10</v>
      </c>
    </row>
    <row r="18">
      <c r="A18" s="4" t="inlineStr">
        <is>
          <t>13-Dec</t>
        </is>
      </c>
      <c r="B18" s="4" t="n">
        <v>2</v>
      </c>
    </row>
    <row r="19">
      <c r="A19" s="5" t="inlineStr">
        <is>
          <t>TOTAL</t>
        </is>
      </c>
      <c r="B19" s="5">
        <f>SUM(B13:B18)</f>
        <v/>
      </c>
    </row>
    <row r="20"/>
    <row r="21">
      <c r="A21" s="48" t="inlineStr">
        <is>
          <t>ROOM ALLOCATION GRID</t>
        </is>
      </c>
    </row>
    <row r="22">
      <c r="A22" s="56" t="inlineStr">
        <is>
          <t>Room</t>
        </is>
      </c>
      <c r="B22" s="56" t="inlineStr">
        <is>
          <t>Room no.</t>
        </is>
      </c>
      <c r="C22" s="5" t="inlineStr">
        <is>
          <t>08-Dec-2026</t>
        </is>
      </c>
      <c r="D22" s="5" t="inlineStr">
        <is>
          <t>09-Dec-2026</t>
        </is>
      </c>
      <c r="E22" s="5" t="inlineStr">
        <is>
          <t>10-Dec-2026</t>
        </is>
      </c>
      <c r="F22" s="5" t="inlineStr">
        <is>
          <t>11-Dec-2026</t>
        </is>
      </c>
      <c r="G22" s="5" t="inlineStr">
        <is>
          <t>12-Dec-2026</t>
        </is>
      </c>
      <c r="H22" s="5" t="inlineStr">
        <is>
          <t>13-Dec-2026</t>
        </is>
      </c>
      <c r="I22" t="inlineStr">
        <is>
          <t>Notes</t>
        </is>
      </c>
    </row>
    <row r="23">
      <c r="A23" s="53" t="inlineStr">
        <is>
          <t>Room 1 - Guest 1</t>
        </is>
      </c>
      <c r="C23" s="9" t="inlineStr">
        <is>
          <t>Suraj</t>
        </is>
      </c>
      <c r="D23" s="9" t="n"/>
      <c r="E23" s="9" t="n"/>
      <c r="F23" s="9" t="n"/>
      <c r="G23" s="9" t="n"/>
      <c r="H23" s="9" t="n"/>
    </row>
    <row r="24">
      <c r="A24" s="53" t="inlineStr">
        <is>
          <t>Room 2 - Guest 1</t>
        </is>
      </c>
      <c r="C24" s="9" t="n"/>
      <c r="D24" s="9" t="n"/>
      <c r="E24" s="9" t="n"/>
      <c r="F24" s="9" t="n"/>
      <c r="G24" s="9" t="n"/>
      <c r="H24" s="9" t="n"/>
    </row>
    <row r="25">
      <c r="A25" s="53" t="inlineStr">
        <is>
          <t>Room 3 - Guest 1</t>
        </is>
      </c>
      <c r="C25" s="9" t="n"/>
      <c r="D25" s="9" t="inlineStr">
        <is>
          <t>Raghav</t>
        </is>
      </c>
      <c r="E25" s="9" t="n"/>
      <c r="F25" s="9" t="n"/>
      <c r="G25" s="9" t="n"/>
      <c r="H25" s="9" t="n"/>
    </row>
    <row r="26">
      <c r="A26" s="53" t="inlineStr">
        <is>
          <t>Room 4 - Guest 1</t>
        </is>
      </c>
      <c r="C26" s="9" t="n"/>
      <c r="D26" s="9" t="n"/>
      <c r="E26" s="9" t="n"/>
      <c r="F26" s="9" t="inlineStr">
        <is>
          <t>Sunny</t>
        </is>
      </c>
      <c r="G26" s="9" t="n"/>
      <c r="H26" s="9" t="n"/>
    </row>
    <row r="27">
      <c r="A27" s="53" t="inlineStr">
        <is>
          <t>Room 5 - Guest 1</t>
        </is>
      </c>
      <c r="C27" s="9" t="n"/>
      <c r="D27" s="9" t="n"/>
      <c r="E27" s="9" t="n"/>
      <c r="F27" s="9" t="n"/>
      <c r="G27" s="9" t="n"/>
      <c r="H27" s="9" t="n"/>
    </row>
    <row r="28">
      <c r="A28" s="53" t="inlineStr">
        <is>
          <t>Room 6 - Guest 1</t>
        </is>
      </c>
      <c r="C28" s="9" t="n"/>
      <c r="D28" s="9" t="n"/>
      <c r="E28" s="9" t="n"/>
      <c r="F28" s="9" t="n"/>
      <c r="G28" s="9" t="n"/>
      <c r="H28" s="9" t="n"/>
    </row>
    <row r="29">
      <c r="A29" s="53" t="inlineStr">
        <is>
          <t>Room 7 - Guest 1</t>
        </is>
      </c>
      <c r="C29" s="9" t="n"/>
      <c r="D29" s="9" t="n"/>
      <c r="E29" s="9" t="n"/>
      <c r="F29" s="9" t="n"/>
      <c r="G29" s="9" t="n"/>
      <c r="H29" s="9" t="n"/>
    </row>
    <row r="30">
      <c r="A30" s="53" t="inlineStr">
        <is>
          <t>Room 8 - Guest 1</t>
        </is>
      </c>
      <c r="C30" s="9" t="n"/>
      <c r="D30" s="9" t="n"/>
      <c r="E30" s="9" t="n"/>
      <c r="F30" s="9" t="n"/>
      <c r="G30" s="9" t="n"/>
      <c r="H30" s="9" t="n"/>
    </row>
    <row r="31">
      <c r="A31" s="53" t="inlineStr">
        <is>
          <t>Room 9 - Guest 1</t>
        </is>
      </c>
      <c r="C31" s="9" t="n"/>
      <c r="D31" s="9" t="n"/>
      <c r="E31" s="9" t="n"/>
      <c r="F31" s="9" t="n"/>
      <c r="G31" s="9" t="n"/>
      <c r="H31" s="9" t="n"/>
    </row>
    <row r="32">
      <c r="A32" s="53" t="inlineStr">
        <is>
          <t>Room 10 - Guest 1</t>
        </is>
      </c>
      <c r="C32" s="9" t="n"/>
      <c r="D32" s="9" t="n"/>
      <c r="E32" s="9" t="n"/>
      <c r="F32" s="9" t="n"/>
      <c r="G32" s="9" t="n"/>
      <c r="H32" s="9" t="n"/>
    </row>
    <row r="33">
      <c r="A33" s="48" t="inlineStr">
        <is>
          <t>SECOND GUEST PER ROOM  -  fill only if two people share the room. FILLED counts occupied ROOMS, not guest names.</t>
        </is>
      </c>
    </row>
    <row r="34">
      <c r="A34" s="53" t="inlineStr">
        <is>
          <t>Room 1 - Guest 2</t>
        </is>
      </c>
      <c r="C34" s="9" t="inlineStr">
        <is>
          <t>Smolly</t>
        </is>
      </c>
      <c r="D34" s="9" t="n"/>
      <c r="E34" s="9" t="n"/>
      <c r="F34" s="9" t="n"/>
      <c r="G34" s="9" t="n"/>
      <c r="H34" s="9" t="n"/>
    </row>
    <row r="35">
      <c r="A35" s="53" t="inlineStr">
        <is>
          <t>Room 2 - Guest 2</t>
        </is>
      </c>
      <c r="C35" s="9" t="n"/>
      <c r="D35" s="9" t="n"/>
      <c r="E35" s="9" t="n"/>
      <c r="F35" s="9" t="n"/>
      <c r="G35" s="9" t="n"/>
      <c r="H35" s="9" t="n"/>
    </row>
    <row r="36">
      <c r="A36" s="53" t="inlineStr">
        <is>
          <t>Room 3 - Guest 2</t>
        </is>
      </c>
      <c r="C36" s="9" t="n"/>
      <c r="D36" s="9" t="n"/>
      <c r="E36" s="9" t="n"/>
      <c r="F36" s="9" t="n"/>
      <c r="G36" s="9" t="n"/>
      <c r="H36" s="9" t="n"/>
    </row>
    <row r="37">
      <c r="A37" s="53" t="inlineStr">
        <is>
          <t>Room 4 - Guest 2</t>
        </is>
      </c>
      <c r="C37" s="9" t="n"/>
      <c r="D37" s="9" t="n"/>
      <c r="E37" s="9" t="n"/>
      <c r="F37" s="9" t="n"/>
      <c r="G37" s="9" t="n"/>
      <c r="H37" s="9" t="n"/>
    </row>
    <row r="38">
      <c r="A38" s="53" t="inlineStr">
        <is>
          <t>Room 5 - Guest 2</t>
        </is>
      </c>
      <c r="C38" s="9" t="n"/>
      <c r="D38" s="9" t="n"/>
      <c r="E38" s="9" t="n"/>
      <c r="F38" s="9" t="n"/>
      <c r="G38" s="9" t="n"/>
      <c r="H38" s="9" t="n"/>
    </row>
    <row r="39">
      <c r="A39" s="53" t="inlineStr">
        <is>
          <t>Room 6 - Guest 2</t>
        </is>
      </c>
      <c r="C39" s="9" t="n"/>
      <c r="D39" s="9" t="n"/>
      <c r="E39" s="9" t="n"/>
      <c r="F39" s="9" t="n"/>
      <c r="G39" s="9" t="n"/>
      <c r="H39" s="9" t="n"/>
    </row>
    <row r="40">
      <c r="A40" s="53" t="inlineStr">
        <is>
          <t>Room 7 - Guest 2</t>
        </is>
      </c>
      <c r="C40" s="9" t="n"/>
      <c r="D40" s="9" t="n"/>
      <c r="E40" s="9" t="n"/>
      <c r="F40" s="9" t="n"/>
      <c r="G40" s="9" t="n"/>
      <c r="H40" s="9" t="n"/>
    </row>
    <row r="41">
      <c r="A41" s="53" t="inlineStr">
        <is>
          <t>Room 8 - Guest 2</t>
        </is>
      </c>
      <c r="C41" s="9" t="n"/>
      <c r="D41" s="9" t="n"/>
      <c r="E41" s="9" t="n"/>
      <c r="F41" s="9" t="n"/>
      <c r="G41" s="9" t="n"/>
      <c r="H41" s="9" t="n"/>
    </row>
    <row r="42">
      <c r="A42" s="53" t="inlineStr">
        <is>
          <t>Room 9 - Guest 2</t>
        </is>
      </c>
      <c r="C42" s="9" t="n"/>
      <c r="D42" s="9" t="n"/>
      <c r="E42" s="9" t="n"/>
      <c r="F42" s="9" t="n"/>
      <c r="G42" s="9" t="n"/>
      <c r="H42" s="9" t="n"/>
    </row>
    <row r="43">
      <c r="A43" s="53" t="inlineStr">
        <is>
          <t>Room 10 - Guest 2</t>
        </is>
      </c>
      <c r="C43" s="9" t="n"/>
      <c r="D43" s="9" t="n"/>
      <c r="E43" s="9" t="n"/>
      <c r="F43" s="9" t="n"/>
      <c r="G43" s="9" t="n"/>
      <c r="H43" s="9" t="n"/>
    </row>
    <row r="44">
      <c r="A44" s="48" t="inlineStr">
        <is>
          <t>THIRD GUEST PER ROOM  -  fill only if a THIRD person shares the room. These are the extra guests the hotel bills on top of the room rate.</t>
        </is>
      </c>
    </row>
    <row r="45">
      <c r="A45" s="53" t="inlineStr">
        <is>
          <t>Room 1 - Guest 3</t>
        </is>
      </c>
      <c r="C45" s="9" t="n"/>
      <c r="D45" s="9" t="n"/>
      <c r="E45" s="9" t="n"/>
      <c r="F45" s="9" t="n"/>
      <c r="G45" s="9" t="n"/>
      <c r="H45" s="9" t="n"/>
    </row>
    <row r="46">
      <c r="A46" s="53" t="inlineStr">
        <is>
          <t>Room 2 - Guest 3</t>
        </is>
      </c>
      <c r="C46" s="9" t="n"/>
      <c r="D46" s="9" t="n"/>
      <c r="E46" s="9" t="n"/>
      <c r="F46" s="9" t="n"/>
      <c r="G46" s="9" t="n"/>
      <c r="H46" s="9" t="n"/>
    </row>
    <row r="47">
      <c r="A47" s="53" t="inlineStr">
        <is>
          <t>Room 3 - Guest 3</t>
        </is>
      </c>
      <c r="C47" s="9" t="n"/>
      <c r="D47" s="9" t="n"/>
      <c r="E47" s="9" t="n"/>
      <c r="F47" s="9" t="n"/>
      <c r="G47" s="9" t="n"/>
      <c r="H47" s="9" t="n"/>
    </row>
    <row r="48">
      <c r="A48" s="53" t="inlineStr">
        <is>
          <t>Room 4 - Guest 3</t>
        </is>
      </c>
      <c r="C48" s="9" t="n"/>
      <c r="D48" s="9" t="n"/>
      <c r="E48" s="9" t="n"/>
      <c r="F48" s="9" t="n"/>
      <c r="G48" s="9" t="n"/>
      <c r="H48" s="9" t="n"/>
    </row>
    <row r="49">
      <c r="A49" s="53" t="inlineStr">
        <is>
          <t>Room 5 - Guest 3</t>
        </is>
      </c>
      <c r="C49" s="9" t="n"/>
      <c r="D49" s="9" t="n"/>
      <c r="E49" s="9" t="n"/>
      <c r="F49" s="9" t="n"/>
      <c r="G49" s="9" t="n"/>
      <c r="H49" s="9" t="n"/>
    </row>
    <row r="50">
      <c r="A50" s="53" t="inlineStr">
        <is>
          <t>Room 6 - Guest 3</t>
        </is>
      </c>
      <c r="C50" s="9" t="n"/>
      <c r="D50" s="9" t="n"/>
      <c r="E50" s="9" t="n"/>
      <c r="F50" s="9" t="n"/>
      <c r="G50" s="9" t="n"/>
      <c r="H50" s="9" t="n"/>
    </row>
    <row r="51">
      <c r="A51" s="53" t="inlineStr">
        <is>
          <t>Room 7 - Guest 3</t>
        </is>
      </c>
      <c r="C51" s="9" t="n"/>
      <c r="D51" s="9" t="n"/>
      <c r="E51" s="9" t="n"/>
      <c r="F51" s="9" t="n"/>
      <c r="G51" s="9" t="n"/>
      <c r="H51" s="9" t="n"/>
    </row>
    <row r="52">
      <c r="A52" s="53" t="inlineStr">
        <is>
          <t>Room 8 - Guest 3</t>
        </is>
      </c>
      <c r="C52" s="9" t="n"/>
      <c r="D52" s="9" t="n"/>
      <c r="E52" s="9" t="n"/>
      <c r="F52" s="9" t="n"/>
      <c r="G52" s="9" t="n"/>
      <c r="H52" s="9" t="n"/>
    </row>
    <row r="53">
      <c r="A53" s="53" t="inlineStr">
        <is>
          <t>Room 9 - Guest 3</t>
        </is>
      </c>
      <c r="C53" s="9" t="n"/>
      <c r="D53" s="9" t="n"/>
      <c r="E53" s="9" t="n"/>
      <c r="F53" s="9" t="n"/>
      <c r="G53" s="9" t="n"/>
      <c r="H53" s="9" t="n"/>
    </row>
    <row r="54">
      <c r="A54" s="53" t="inlineStr">
        <is>
          <t>Room 10 - Guest 3</t>
        </is>
      </c>
      <c r="C54" s="9" t="n"/>
      <c r="D54" s="9" t="n"/>
      <c r="E54" s="9" t="n"/>
      <c r="F54" s="9" t="n"/>
      <c r="G54" s="9" t="n"/>
      <c r="H54" s="9" t="n"/>
    </row>
    <row r="55">
      <c r="A55" s="55" t="inlineStr">
        <is>
          <t>FILLED</t>
        </is>
      </c>
      <c r="C55" s="11">
        <f>SUMPRODUCT(--(((C23:C32&lt;&gt;"")+(C34:C43&lt;&gt;"")+(C45:C54&lt;&gt;""))&gt;0))</f>
        <v/>
      </c>
      <c r="D55" s="11">
        <f>SUMPRODUCT(--(((D23:D32&lt;&gt;"")+(D34:D43&lt;&gt;"")+(D45:D54&lt;&gt;""))&gt;0))</f>
        <v/>
      </c>
      <c r="E55" s="11">
        <f>SUMPRODUCT(--(((E23:E32&lt;&gt;"")+(E34:E43&lt;&gt;"")+(E45:E54&lt;&gt;""))&gt;0))</f>
        <v/>
      </c>
      <c r="F55" s="11">
        <f>SUMPRODUCT(--(((F23:F32&lt;&gt;"")+(F34:F43&lt;&gt;"")+(F45:F54&lt;&gt;""))&gt;0))</f>
        <v/>
      </c>
      <c r="G55" s="11">
        <f>SUMPRODUCT(--(((G23:G32&lt;&gt;"")+(G34:G43&lt;&gt;"")+(G45:G54&lt;&gt;""))&gt;0))</f>
        <v/>
      </c>
      <c r="H55" s="11">
        <f>SUMPRODUCT(--(((H23:H32&lt;&gt;"")+(H34:H43&lt;&gt;"")+(H45:H54&lt;&gt;""))&gt;0))</f>
        <v/>
      </c>
    </row>
    <row r="56">
      <c r="A56" s="55" t="inlineStr">
        <is>
          <t>NEEDED</t>
        </is>
      </c>
      <c r="C56" s="11" t="n">
        <v>2</v>
      </c>
      <c r="D56" s="11" t="n">
        <v>3</v>
      </c>
      <c r="E56" s="11" t="n">
        <v>10</v>
      </c>
      <c r="F56" s="11" t="n">
        <v>10</v>
      </c>
      <c r="G56" s="11" t="n">
        <v>10</v>
      </c>
      <c r="H56" s="11" t="n">
        <v>2</v>
      </c>
    </row>
    <row r="57">
      <c r="A57" s="55" t="inlineStr">
        <is>
          <t>STATUS</t>
        </is>
      </c>
      <c r="C57">
        <f>IF(C55=C56,"OK",IF(C55&lt;C56,"need "&amp;(C56-C55)&amp;" more","extra "&amp;(C55-C56)))</f>
        <v/>
      </c>
      <c r="D57">
        <f>IF(D55=D56,"OK",IF(D55&lt;D56,"need "&amp;(D56-D55)&amp;" more","extra "&amp;(D55-D56)))</f>
        <v/>
      </c>
      <c r="E57">
        <f>IF(E55=E56,"OK",IF(E55&lt;E56,"need "&amp;(E56-E55)&amp;" more","extra "&amp;(E55-E56)))</f>
        <v/>
      </c>
      <c r="F57">
        <f>IF(F55=F56,"OK",IF(F55&lt;F56,"need "&amp;(F56-F55)&amp;" more","extra "&amp;(F55-F56)))</f>
        <v/>
      </c>
      <c r="G57">
        <f>IF(G55=G56,"OK",IF(G55&lt;G56,"need "&amp;(G56-G55)&amp;" more","extra "&amp;(G55-G56)))</f>
        <v/>
      </c>
      <c r="H57">
        <f>IF(H55=H56,"OK",IF(H55&lt;H56,"need "&amp;(H56-H55)&amp;" more","extra "&amp;(H55-H56)))</f>
        <v/>
      </c>
    </row>
    <row r="58">
      <c r="A58" s="55" t="inlineStr">
        <is>
          <t>GUESTS</t>
        </is>
      </c>
      <c r="C58" s="11">
        <f>SUMPRODUCT(--(C23:C32&lt;&gt;""))+SUMPRODUCT(--(C34:C43&lt;&gt;""))+SUMPRODUCT(--(C45:C54&lt;&gt;""))</f>
        <v/>
      </c>
      <c r="D58" s="11">
        <f>SUMPRODUCT(--(D23:D32&lt;&gt;""))+SUMPRODUCT(--(D34:D43&lt;&gt;""))+SUMPRODUCT(--(D45:D54&lt;&gt;""))</f>
        <v/>
      </c>
      <c r="E58" s="11">
        <f>SUMPRODUCT(--(E23:E32&lt;&gt;""))+SUMPRODUCT(--(E34:E43&lt;&gt;""))+SUMPRODUCT(--(E45:E54&lt;&gt;""))</f>
        <v/>
      </c>
      <c r="F58" s="11">
        <f>SUMPRODUCT(--(F23:F32&lt;&gt;""))+SUMPRODUCT(--(F34:F43&lt;&gt;""))+SUMPRODUCT(--(F45:F54&lt;&gt;""))</f>
        <v/>
      </c>
      <c r="G58" s="11">
        <f>SUMPRODUCT(--(G23:G32&lt;&gt;""))+SUMPRODUCT(--(G34:G43&lt;&gt;""))+SUMPRODUCT(--(G45:G54&lt;&gt;""))</f>
        <v/>
      </c>
      <c r="H58" s="11">
        <f>SUMPRODUCT(--(H23:H32&lt;&gt;""))+SUMPRODUCT(--(H34:H43&lt;&gt;""))+SUMPRODUCT(--(H45:H54&lt;&gt;""))</f>
        <v/>
      </c>
    </row>
    <row r="59">
      <c r="A59" s="55" t="inlineStr">
        <is>
          <t>3rd GUESTS</t>
        </is>
      </c>
      <c r="C59" s="11">
        <f>SUMPRODUCT(--(C45:C54&lt;&gt;""))</f>
        <v/>
      </c>
      <c r="D59" s="11">
        <f>SUMPRODUCT(--(D45:D54&lt;&gt;""))</f>
        <v/>
      </c>
      <c r="E59" s="11">
        <f>SUMPRODUCT(--(E45:E54&lt;&gt;""))</f>
        <v/>
      </c>
      <c r="F59" s="11">
        <f>SUMPRODUCT(--(F45:F54&lt;&gt;""))</f>
        <v/>
      </c>
      <c r="G59" s="11">
        <f>SUMPRODUCT(--(G45:G54&lt;&gt;""))</f>
        <v/>
      </c>
      <c r="H59" s="11">
        <f>SUMPRODUCT(--(H45:H54&lt;&gt;""))</f>
        <v/>
      </c>
    </row>
    <row r="61">
      <c r="A61" s="50" t="inlineStr">
        <is>
          <t>How to use:  every room has a 'Guest 1' row and a 'Guest 2' row. Type a name in the white cell for the night that guest is staying. Leave a cell blank if that guest is not in that room that night. FILLED counts occupied ROOMS, not guest names, so a room with two guests still counts as one room.</t>
        </is>
      </c>
    </row>
    <row r="62">
      <c r="A62" s="50" t="inlineStr">
        <is>
          <t>Give this grid to the front desk on arrival. Hand out room keys against the names you typed.</t>
        </is>
      </c>
    </row>
    <row r="63">
      <c r="A63" s="50" t="inlineStr">
        <is>
          <t>Two guests in one room?  Put the first name in the 'Guest 1' row and the second in the 'Guest 2' row for that same night. Both rows belong to the same room, so it still counts as one room against NEEDED.</t>
        </is>
      </c>
    </row>
    <row r="64">
      <c r="A64" s="50" t="inlineStr">
        <is>
          <t>Check-out is 14-Dec-2026. 13-Dec is the last night and only 2 rooms are needed, so release the other 8 rooms after checkout on 13-Dec.</t>
        </is>
      </c>
    </row>
  </sheetData>
  <mergeCells count="9">
    <mergeCell ref="A21:AH21"/>
    <mergeCell ref="A63:AH63"/>
    <mergeCell ref="A64:AH64"/>
    <mergeCell ref="A33:AH33"/>
    <mergeCell ref="A11:AH11"/>
    <mergeCell ref="A44:AH44"/>
    <mergeCell ref="A61:AH61"/>
    <mergeCell ref="A4:AH4"/>
    <mergeCell ref="A62:AH6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56"/>
  <sheetViews>
    <sheetView workbookViewId="0">
      <selection activeCell="A1" sqref="A1"/>
    </sheetView>
  </sheetViews>
  <sheetFormatPr baseColWidth="8" defaultRowHeight="15"/>
  <cols>
    <col width="30" customWidth="1" style="49" min="1" max="1"/>
    <col width="11" customWidth="1" style="49" min="2" max="2"/>
  </cols>
  <sheetData>
    <row r="1">
      <c r="A1" s="52" t="inlineStr">
        <is>
          <t>AMARAI — ROOM PLAN BY NIGHT</t>
        </is>
      </c>
    </row>
    <row r="2">
      <c r="A2" s="51" t="inlineStr">
        <is>
          <t>Check-in 08-Dec-2026  |  Check-out 12-Dec-2026  |  7 of 7 rooms booked</t>
        </is>
      </c>
    </row>
    <row r="3"/>
    <row r="4">
      <c r="A4" s="48" t="inlineStr">
        <is>
          <t>BOOKING</t>
        </is>
      </c>
    </row>
    <row r="5">
      <c r="A5" s="3" t="inlineStr">
        <is>
          <t>Check-in</t>
        </is>
      </c>
      <c r="B5" s="4" t="inlineStr">
        <is>
          <t>08-Dec-2026</t>
        </is>
      </c>
    </row>
    <row r="6">
      <c r="A6" s="3" t="inlineStr">
        <is>
          <t>Check-out</t>
        </is>
      </c>
      <c r="B6" s="4" t="inlineStr">
        <is>
          <t>12-Dec-2026</t>
        </is>
      </c>
    </row>
    <row r="7">
      <c r="A7" s="3" t="inlineStr">
        <is>
          <t>Checkout time</t>
        </is>
      </c>
      <c r="B7" s="4" t="inlineStr">
        <is>
          <t>12:30 PM</t>
        </is>
      </c>
    </row>
    <row r="8">
      <c r="A8" s="3" t="inlineStr">
        <is>
          <t>Rooms booked</t>
        </is>
      </c>
      <c r="B8" s="4" t="n">
        <v>7</v>
      </c>
    </row>
    <row r="9">
      <c r="A9" s="3" t="inlineStr">
        <is>
          <t>Total rooms</t>
        </is>
      </c>
      <c r="B9" s="4" t="n">
        <v>7</v>
      </c>
    </row>
    <row r="10">
      <c r="A10" s="3" t="inlineStr">
        <is>
          <t>Total room-nights</t>
        </is>
      </c>
      <c r="B10" s="4" t="n">
        <v>23</v>
      </c>
    </row>
    <row r="11"/>
    <row r="12">
      <c r="A12" s="48" t="inlineStr">
        <is>
          <t>ROOMS NEEDED PER NIGHT</t>
        </is>
      </c>
    </row>
    <row r="13">
      <c r="A13" s="5" t="inlineStr">
        <is>
          <t>Date</t>
        </is>
      </c>
      <c r="B13" s="5" t="inlineStr">
        <is>
          <t>Rooms</t>
        </is>
      </c>
    </row>
    <row r="14">
      <c r="A14" t="inlineStr">
        <is>
          <t>08-Dec</t>
        </is>
      </c>
      <c r="B14" t="n">
        <v>2</v>
      </c>
    </row>
    <row r="15">
      <c r="A15" t="inlineStr">
        <is>
          <t>09-Dec</t>
        </is>
      </c>
      <c r="B15" t="n">
        <v>7</v>
      </c>
    </row>
    <row r="16">
      <c r="A16" t="inlineStr">
        <is>
          <t>10-Dec</t>
        </is>
      </c>
      <c r="B16" t="n">
        <v>7</v>
      </c>
    </row>
    <row r="17">
      <c r="A17" t="inlineStr">
        <is>
          <t>11-Dec</t>
        </is>
      </c>
      <c r="B17" t="n">
        <v>7</v>
      </c>
    </row>
    <row r="18">
      <c r="A18" t="inlineStr">
        <is>
          <t>12-Dec</t>
        </is>
      </c>
      <c r="B18" t="n">
        <v>0</v>
      </c>
    </row>
    <row r="19">
      <c r="A19" s="5" t="inlineStr">
        <is>
          <t>TOTAL</t>
        </is>
      </c>
      <c r="B19" s="5">
        <f>SUM(B14:B18)</f>
        <v/>
      </c>
    </row>
    <row r="20"/>
    <row r="21">
      <c r="A21" s="48" t="inlineStr">
        <is>
          <t>ROOM ALLOCATION GRID</t>
        </is>
      </c>
    </row>
    <row r="22">
      <c r="A22" s="56" t="inlineStr">
        <is>
          <t>Room</t>
        </is>
      </c>
      <c r="B22" s="56" t="inlineStr">
        <is>
          <t>Room no.</t>
        </is>
      </c>
      <c r="C22" s="5" t="inlineStr">
        <is>
          <t>08-Dec-2026</t>
        </is>
      </c>
      <c r="D22" s="5" t="inlineStr">
        <is>
          <t>09-Dec-2026</t>
        </is>
      </c>
      <c r="E22" s="5" t="inlineStr">
        <is>
          <t>10-Dec-2026</t>
        </is>
      </c>
      <c r="F22" s="5" t="inlineStr">
        <is>
          <t>11-Dec-2026</t>
        </is>
      </c>
      <c r="G22" s="5" t="inlineStr">
        <is>
          <t>12-Dec-2026</t>
        </is>
      </c>
      <c r="H22" t="inlineStr">
        <is>
          <t>Notes</t>
        </is>
      </c>
    </row>
    <row r="23">
      <c r="A23" s="53" t="inlineStr">
        <is>
          <t>Room 1 - Guest 1</t>
        </is>
      </c>
      <c r="C23" s="9" t="n"/>
      <c r="D23" s="9" t="n"/>
      <c r="E23" s="9" t="n"/>
      <c r="F23" s="9" t="n"/>
      <c r="G23" s="9" t="n"/>
    </row>
    <row r="24">
      <c r="A24" s="53" t="inlineStr">
        <is>
          <t>Room 2 - Guest 1</t>
        </is>
      </c>
      <c r="C24" s="9" t="n"/>
      <c r="D24" s="9" t="n"/>
      <c r="E24" s="9" t="n"/>
      <c r="F24" s="9" t="n"/>
      <c r="G24" s="9" t="n"/>
    </row>
    <row r="25">
      <c r="A25" s="53" t="inlineStr">
        <is>
          <t>Room 3 - Guest 1</t>
        </is>
      </c>
      <c r="C25" s="9" t="n"/>
      <c r="D25" s="9" t="n"/>
      <c r="E25" s="9" t="n"/>
      <c r="F25" s="9" t="n"/>
      <c r="G25" s="9" t="n"/>
    </row>
    <row r="26">
      <c r="A26" s="53" t="inlineStr">
        <is>
          <t>Room 4 - Guest 1</t>
        </is>
      </c>
      <c r="C26" s="9" t="n"/>
      <c r="D26" s="9" t="n"/>
      <c r="E26" s="9" t="n"/>
      <c r="F26" s="9" t="n"/>
      <c r="G26" s="9" t="n"/>
    </row>
    <row r="27">
      <c r="A27" s="53" t="inlineStr">
        <is>
          <t>Room 5 - Guest 1</t>
        </is>
      </c>
      <c r="C27" s="9" t="n"/>
      <c r="D27" s="9" t="n"/>
      <c r="E27" s="9" t="n"/>
      <c r="F27" s="9" t="n"/>
      <c r="G27" s="9" t="n"/>
    </row>
    <row r="28">
      <c r="A28" s="53" t="inlineStr">
        <is>
          <t>Room 6 - Guest 1</t>
        </is>
      </c>
      <c r="C28" s="9" t="n"/>
      <c r="D28" s="9" t="n"/>
      <c r="E28" s="9" t="n"/>
      <c r="F28" s="9" t="n"/>
      <c r="G28" s="9" t="n"/>
    </row>
    <row r="29">
      <c r="A29" s="53" t="inlineStr">
        <is>
          <t>Room 7 - Guest 1</t>
        </is>
      </c>
      <c r="C29" s="9" t="n"/>
      <c r="D29" s="9" t="n"/>
      <c r="E29" s="9" t="n"/>
      <c r="F29" s="9" t="n"/>
      <c r="G29" s="9" t="n"/>
    </row>
    <row r="30">
      <c r="A30" s="48" t="inlineStr">
        <is>
          <t>SECOND GUEST PER ROOM  -  fill only if two people share the room. FILLED counts occupied ROOMS, not guest names.</t>
        </is>
      </c>
    </row>
    <row r="31">
      <c r="A31" s="53" t="inlineStr">
        <is>
          <t>Room 1 - Guest 2</t>
        </is>
      </c>
      <c r="C31" s="9" t="n"/>
      <c r="D31" s="9" t="n"/>
      <c r="E31" s="9" t="n"/>
      <c r="F31" s="9" t="n"/>
      <c r="G31" s="9" t="n"/>
    </row>
    <row r="32">
      <c r="A32" s="53" t="inlineStr">
        <is>
          <t>Room 2 - Guest 2</t>
        </is>
      </c>
      <c r="C32" s="9" t="n"/>
      <c r="D32" s="9" t="n"/>
      <c r="E32" s="9" t="n"/>
      <c r="F32" s="9" t="n"/>
      <c r="G32" s="9" t="n"/>
    </row>
    <row r="33">
      <c r="A33" s="53" t="inlineStr">
        <is>
          <t>Room 3 - Guest 2</t>
        </is>
      </c>
      <c r="C33" s="9" t="n"/>
      <c r="D33" s="9" t="n"/>
      <c r="E33" s="9" t="n"/>
      <c r="F33" s="9" t="n"/>
      <c r="G33" s="9" t="n"/>
    </row>
    <row r="34">
      <c r="A34" s="53" t="inlineStr">
        <is>
          <t>Room 4 - Guest 2</t>
        </is>
      </c>
      <c r="C34" s="9" t="n"/>
      <c r="D34" s="9" t="n"/>
      <c r="E34" s="9" t="n"/>
      <c r="F34" s="9" t="n"/>
      <c r="G34" s="9" t="n"/>
    </row>
    <row r="35">
      <c r="A35" s="53" t="inlineStr">
        <is>
          <t>Room 5 - Guest 2</t>
        </is>
      </c>
      <c r="C35" s="9" t="n"/>
      <c r="D35" s="9" t="n"/>
      <c r="E35" s="9" t="n"/>
      <c r="F35" s="9" t="n"/>
      <c r="G35" s="9" t="n"/>
    </row>
    <row r="36">
      <c r="A36" s="53" t="inlineStr">
        <is>
          <t>Room 6 - Guest 2</t>
        </is>
      </c>
      <c r="C36" s="9" t="n"/>
      <c r="D36" s="9" t="n"/>
      <c r="E36" s="9" t="n"/>
      <c r="F36" s="9" t="n"/>
      <c r="G36" s="9" t="n"/>
    </row>
    <row r="37">
      <c r="A37" s="53" t="inlineStr">
        <is>
          <t>Room 7 - Guest 2</t>
        </is>
      </c>
      <c r="C37" s="9" t="n"/>
      <c r="D37" s="9" t="n"/>
      <c r="E37" s="9" t="n"/>
      <c r="F37" s="9" t="n"/>
      <c r="G37" s="9" t="n"/>
    </row>
    <row r="38">
      <c r="A38" s="48" t="inlineStr">
        <is>
          <t>THIRD GUEST PER ROOM  -  fill only if a THIRD person shares the room. These are the extra guests the hotel bills on top of the room rate.</t>
        </is>
      </c>
    </row>
    <row r="39">
      <c r="A39" s="53" t="inlineStr">
        <is>
          <t>Room 1 - Guest 3</t>
        </is>
      </c>
      <c r="C39" s="9" t="n"/>
      <c r="D39" s="9" t="n"/>
      <c r="E39" s="9" t="n"/>
      <c r="F39" s="9" t="n"/>
      <c r="G39" s="9" t="n"/>
    </row>
    <row r="40">
      <c r="A40" s="53" t="inlineStr">
        <is>
          <t>Room 2 - Guest 3</t>
        </is>
      </c>
      <c r="C40" s="9" t="n"/>
      <c r="D40" s="9" t="n"/>
      <c r="E40" s="9" t="n"/>
      <c r="F40" s="9" t="n"/>
      <c r="G40" s="9" t="n"/>
    </row>
    <row r="41">
      <c r="A41" s="53" t="inlineStr">
        <is>
          <t>Room 3 - Guest 3</t>
        </is>
      </c>
      <c r="C41" s="9" t="n"/>
      <c r="D41" s="9" t="n"/>
      <c r="E41" s="9" t="n"/>
      <c r="F41" s="9" t="n"/>
      <c r="G41" s="9" t="n"/>
    </row>
    <row r="42">
      <c r="A42" s="53" t="inlineStr">
        <is>
          <t>Room 4 - Guest 3</t>
        </is>
      </c>
      <c r="C42" s="9" t="n"/>
      <c r="D42" s="9" t="n"/>
      <c r="E42" s="9" t="n"/>
      <c r="F42" s="9" t="n"/>
      <c r="G42" s="9" t="n"/>
    </row>
    <row r="43">
      <c r="A43" s="53" t="inlineStr">
        <is>
          <t>Room 5 - Guest 3</t>
        </is>
      </c>
      <c r="C43" s="9" t="n"/>
      <c r="D43" s="9" t="n"/>
      <c r="E43" s="9" t="n"/>
      <c r="F43" s="9" t="n"/>
      <c r="G43" s="9" t="n"/>
    </row>
    <row r="44">
      <c r="A44" s="53" t="inlineStr">
        <is>
          <t>Room 6 - Guest 3</t>
        </is>
      </c>
      <c r="C44" s="9" t="n"/>
      <c r="D44" s="9" t="n"/>
      <c r="E44" s="9" t="n"/>
      <c r="F44" s="9" t="n"/>
      <c r="G44" s="9" t="n"/>
    </row>
    <row r="45">
      <c r="A45" s="53" t="inlineStr">
        <is>
          <t>Room 7 - Guest 3</t>
        </is>
      </c>
      <c r="C45" s="9" t="n"/>
      <c r="D45" s="9" t="n"/>
      <c r="E45" s="9" t="n"/>
      <c r="F45" s="9" t="n"/>
      <c r="G45" s="9" t="n"/>
    </row>
    <row r="46">
      <c r="A46" s="55" t="inlineStr">
        <is>
          <t>FILLED</t>
        </is>
      </c>
      <c r="C46" s="9">
        <f>SUMPRODUCT(--(((C23:C29&lt;&gt;"")+(C31:C37&lt;&gt;"")+(C39:C45&lt;&gt;""))&gt;0))</f>
        <v/>
      </c>
      <c r="D46" s="9">
        <f>SUMPRODUCT(--(((D23:D29&lt;&gt;"")+(D31:D37&lt;&gt;"")+(D39:D45&lt;&gt;""))&gt;0))</f>
        <v/>
      </c>
      <c r="E46" s="9">
        <f>SUMPRODUCT(--(((E23:E29&lt;&gt;"")+(E31:E37&lt;&gt;"")+(E39:E45&lt;&gt;""))&gt;0))</f>
        <v/>
      </c>
      <c r="F46" s="9">
        <f>SUMPRODUCT(--(((F23:F29&lt;&gt;"")+(F31:F37&lt;&gt;"")+(F39:F45&lt;&gt;""))&gt;0))</f>
        <v/>
      </c>
      <c r="G46" s="9">
        <f>SUMPRODUCT(--(((G23:G29&lt;&gt;"")+(G31:G37&lt;&gt;"")+(G39:G45&lt;&gt;""))&gt;0))</f>
        <v/>
      </c>
    </row>
    <row r="47">
      <c r="A47" s="55" t="inlineStr">
        <is>
          <t>NEEDED</t>
        </is>
      </c>
      <c r="C47" s="9" t="n">
        <v>2</v>
      </c>
      <c r="D47" s="9" t="n">
        <v>7</v>
      </c>
      <c r="E47" s="9" t="n">
        <v>7</v>
      </c>
      <c r="F47" s="9" t="n">
        <v>7</v>
      </c>
      <c r="G47" s="9" t="n">
        <v>0</v>
      </c>
    </row>
    <row r="48">
      <c r="A48" s="55" t="inlineStr">
        <is>
          <t>STATUS</t>
        </is>
      </c>
      <c r="C48">
        <f>IF(C46=C47,"OK",IF(C46&lt;C47,"need "&amp;(C47-C46)&amp;" more","extra "&amp;(C46-C47)))</f>
        <v/>
      </c>
      <c r="D48">
        <f>IF(D46=D47,"OK",IF(D46&lt;D47,"need "&amp;(D47-D46)&amp;" more","extra "&amp;(D46-D47)))</f>
        <v/>
      </c>
      <c r="E48">
        <f>IF(E46=E47,"OK",IF(E46&lt;E47,"need "&amp;(E47-E46)&amp;" more","extra "&amp;(E46-E47)))</f>
        <v/>
      </c>
      <c r="F48">
        <f>IF(F46=F47,"OK",IF(F46&lt;F47,"need "&amp;(F47-F46)&amp;" more","extra "&amp;(F46-F47)))</f>
        <v/>
      </c>
      <c r="G48">
        <f>IF(G46=G47,"OK",IF(G46&lt;G47,"need "&amp;(G47-G46)&amp;" more","extra "&amp;(G46-G47)))</f>
        <v/>
      </c>
    </row>
    <row r="49">
      <c r="A49" s="55" t="inlineStr">
        <is>
          <t>GUESTS</t>
        </is>
      </c>
      <c r="C49" s="9">
        <f>SUMPRODUCT(--(C23:C29&lt;&gt;""))+SUMPRODUCT(--(C31:C37&lt;&gt;""))+SUMPRODUCT(--(C39:C45&lt;&gt;""))</f>
        <v/>
      </c>
      <c r="D49" s="9">
        <f>SUMPRODUCT(--(D23:D29&lt;&gt;""))+SUMPRODUCT(--(D31:D37&lt;&gt;""))+SUMPRODUCT(--(D39:D45&lt;&gt;""))</f>
        <v/>
      </c>
      <c r="E49" s="9">
        <f>SUMPRODUCT(--(E23:E29&lt;&gt;""))+SUMPRODUCT(--(E31:E37&lt;&gt;""))+SUMPRODUCT(--(E39:E45&lt;&gt;""))</f>
        <v/>
      </c>
      <c r="F49" s="9">
        <f>SUMPRODUCT(--(F23:F29&lt;&gt;""))+SUMPRODUCT(--(F31:F37&lt;&gt;""))+SUMPRODUCT(--(F39:F45&lt;&gt;""))</f>
        <v/>
      </c>
      <c r="G49" s="9">
        <f>SUMPRODUCT(--(G23:G29&lt;&gt;""))+SUMPRODUCT(--(G31:G37&lt;&gt;""))+SUMPRODUCT(--(G39:G45&lt;&gt;""))</f>
        <v/>
      </c>
    </row>
    <row r="50">
      <c r="A50" s="55" t="inlineStr">
        <is>
          <t>3rd GUESTS</t>
        </is>
      </c>
      <c r="C50" s="9">
        <f>SUMPRODUCT(--(C39:C45&lt;&gt;""))</f>
        <v/>
      </c>
      <c r="D50" s="9">
        <f>SUMPRODUCT(--(D39:D45&lt;&gt;""))</f>
        <v/>
      </c>
      <c r="E50" s="9">
        <f>SUMPRODUCT(--(E39:E45&lt;&gt;""))</f>
        <v/>
      </c>
      <c r="F50" s="9">
        <f>SUMPRODUCT(--(F39:F45&lt;&gt;""))</f>
        <v/>
      </c>
      <c r="G50" s="9">
        <f>SUMPRODUCT(--(G39:G45&lt;&gt;""))</f>
        <v/>
      </c>
    </row>
    <row r="52">
      <c r="A52" s="50" t="inlineStr">
        <is>
          <t>How to use:  every room has a 'Guest 1' row and a 'Guest 2' row. Type a name in the white cell for the night that guest is staying. Leave a cell blank if that guest is not in that room that night. FILLED counts occupied ROOMS, not guest names, so a room with two guests still counts as one room.</t>
        </is>
      </c>
    </row>
    <row r="53">
      <c r="A53" s="50" t="inlineStr">
        <is>
          <t>Give this grid to the front desk on arrival. Hand out room keys against the names you typed.</t>
        </is>
      </c>
    </row>
    <row r="54">
      <c r="A54" s="50" t="inlineStr">
        <is>
          <t>Two guests in one room?  Put the first name in the 'Guest 1' row and the second in the 'Guest 2' row for that same night. Both rows belong to the same room, so it still counts as one room against NEEDED.</t>
        </is>
      </c>
    </row>
    <row r="55">
      <c r="A55" s="50" t="inlineStr">
        <is>
          <t>Checkout is 12-Dec at 12:30 PM, so 12-Dec needs 0 rooms overnight. Rooms 1-7 are held for the nights of 08, 09, 10 and 11 Dec only.</t>
        </is>
      </c>
    </row>
    <row r="56">
      <c r="A56" s="50" t="inlineStr">
        <is>
          <t>Ask the front desk to release all 7 rooms on 12-Dec at 12:30 PM. Only 2 of the 7 rooms are actually needed on the night of 08-Dec.</t>
        </is>
      </c>
    </row>
  </sheetData>
  <mergeCells count="10">
    <mergeCell ref="A56:AG56"/>
    <mergeCell ref="A21:AG21"/>
    <mergeCell ref="A53:AG53"/>
    <mergeCell ref="A55:AG55"/>
    <mergeCell ref="A12:AG12"/>
    <mergeCell ref="A4:AG4"/>
    <mergeCell ref="A38:AG38"/>
    <mergeCell ref="A30:AG30"/>
    <mergeCell ref="A54:AG54"/>
    <mergeCell ref="A52:AG5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4"/>
  <sheetViews>
    <sheetView showGridLines="0" tabSelected="1" workbookViewId="0">
      <pane xSplit="1" ySplit="3" topLeftCell="B4" activePane="bottomRight" state="frozen"/>
      <selection pane="topRight" activeCell="A1" sqref="A1"/>
      <selection pane="bottomLeft" activeCell="A1" sqref="A1"/>
      <selection pane="bottomRight" activeCell="G18" sqref="G18"/>
    </sheetView>
  </sheetViews>
  <sheetFormatPr baseColWidth="10" defaultColWidth="8.83203125" defaultRowHeight="15"/>
  <cols>
    <col width="27" customWidth="1" style="49" min="1" max="1"/>
    <col width="20" customWidth="1" style="49" min="2" max="2"/>
    <col width="14" customWidth="1" style="49" min="3" max="4"/>
    <col width="24" customWidth="1" style="49" min="5" max="5"/>
    <col width="28" customWidth="1" style="49" min="6" max="6"/>
    <col width="24" customWidth="1" style="49" min="7" max="7"/>
    <col width="12" customWidth="1" style="49" min="8" max="8"/>
    <col width="13" customWidth="1" style="49" min="9" max="11"/>
    <col width="15" customWidth="1" style="49" min="12" max="12"/>
    <col width="18" customWidth="1" style="49" min="13" max="13"/>
    <col width="12" customWidth="1" style="49" min="14" max="16"/>
    <col width="40" customWidth="1" style="49" min="17" max="17"/>
  </cols>
  <sheetData>
    <row r="1" ht="21" customHeight="1" s="49">
      <c r="A1" s="52" t="inlineStr">
        <is>
          <t>VENDOR CONTACTS &amp; PAYMENTS</t>
        </is>
      </c>
    </row>
    <row r="2"/>
    <row r="3" ht="30" customHeight="1" s="49">
      <c r="A3" s="12" t="inlineStr">
        <is>
          <t>Vendor / Category</t>
        </is>
      </c>
      <c r="B3" s="12" t="inlineStr">
        <is>
          <t>Contact Person</t>
        </is>
      </c>
      <c r="C3" s="12" t="inlineStr">
        <is>
          <t>Phone</t>
        </is>
      </c>
      <c r="D3" s="12" t="inlineStr">
        <is>
          <t>WhatsApp</t>
        </is>
      </c>
      <c r="E3" s="12" t="inlineStr">
        <is>
          <t>Email</t>
        </is>
      </c>
      <c r="F3" s="12" t="inlineStr">
        <is>
          <t>Address</t>
        </is>
      </c>
      <c r="G3" s="12" t="inlineStr">
        <is>
          <t>Event</t>
        </is>
      </c>
      <c r="H3" s="12" t="inlineStr">
        <is>
          <t>Event Date</t>
        </is>
      </c>
      <c r="I3" s="12" t="inlineStr">
        <is>
          <t>Amount Quoted</t>
        </is>
      </c>
      <c r="J3" s="12" t="inlineStr">
        <is>
          <t>Amount Paid</t>
        </is>
      </c>
      <c r="K3" s="12" t="inlineStr">
        <is>
          <t>Balance</t>
        </is>
      </c>
      <c r="L3" s="12" t="inlineStr">
        <is>
          <t>Payment Mode</t>
        </is>
      </c>
      <c r="M3" s="12" t="inlineStr">
        <is>
          <t>UTR / Ref</t>
        </is>
      </c>
      <c r="N3" s="12" t="inlineStr">
        <is>
          <t>Paid On</t>
        </is>
      </c>
      <c r="O3" s="12" t="inlineStr">
        <is>
          <t>Status</t>
        </is>
      </c>
      <c r="P3" s="12" t="inlineStr">
        <is>
          <t>Quote PDF</t>
        </is>
      </c>
      <c r="Q3" s="12" t="inlineStr">
        <is>
          <t>Notes</t>
        </is>
      </c>
    </row>
    <row r="4" ht="75" customHeight="1" s="49">
      <c r="A4" s="13" t="inlineStr">
        <is>
          <t>Band / Baraat &amp; DJ &amp; Sound System</t>
        </is>
      </c>
      <c r="B4" s="14" t="inlineStr">
        <is>
          <t>Deeplaxmie Events</t>
        </is>
      </c>
      <c r="C4" s="15" t="inlineStr">
        <is>
          <t>8605622211</t>
        </is>
      </c>
      <c r="D4" s="15" t="inlineStr"/>
      <c r="E4" s="14" t="n"/>
      <c r="F4" s="16" t="inlineStr">
        <is>
          <t>Raviwar Peth, Moti Chowk, Pune 411002</t>
        </is>
      </c>
      <c r="G4" s="16" t="inlineStr">
        <is>
          <t>Baraat</t>
        </is>
      </c>
      <c r="H4" s="14" t="inlineStr">
        <is>
          <t>11-Dec-2026</t>
        </is>
      </c>
      <c r="I4" s="17" t="n">
        <v>41000</v>
      </c>
      <c r="J4" s="17" t="n">
        <v>11000</v>
      </c>
      <c r="K4" s="17">
        <f>IF(I4="","",I4-IF(J4="",0,J4))</f>
        <v/>
      </c>
      <c r="L4" s="14" t="inlineStr"/>
      <c r="M4" s="14" t="inlineStr">
        <is>
          <t>Invoice 284</t>
        </is>
      </c>
      <c r="N4" s="18" t="inlineStr"/>
      <c r="O4" s="14">
        <f>IF(I4="","Not Quoted",IF(K4&lt;=0,"Paid","Pending"))</f>
        <v/>
      </c>
      <c r="P4" s="19" t="inlineStr">
        <is>
          <t>Open PDF</t>
        </is>
      </c>
      <c r="Q4" s="16" t="inlineStr">
        <is>
          <t>11-Dec-2026, 7:00-10:00 PM.  Single combined row for the whole invoice: DJ mixer + operator, 4 top &amp; 2 bass speakers, mic, paar lights, name board both sides, driver, fuel, dance floor, light umbrella setup, generator backup, Punjabi dhol x2.  Do not add separate lighting, DJ or generator rows - all of it is inside the 41,000.  See the itemised reference further down.</t>
        </is>
      </c>
    </row>
    <row r="5">
      <c r="A5" s="13" t="inlineStr">
        <is>
          <t>Tent &amp; Banquet Hall</t>
        </is>
      </c>
      <c r="B5" s="21" t="inlineStr"/>
      <c r="C5" s="22" t="inlineStr"/>
      <c r="D5" s="23" t="inlineStr"/>
      <c r="E5" s="24" t="n"/>
      <c r="F5" s="25" t="inlineStr"/>
      <c r="G5" s="16" t="inlineStr">
        <is>
          <t>Sangeet + Reception</t>
        </is>
      </c>
      <c r="H5" s="14" t="inlineStr">
        <is>
          <t>11-Dec-2026</t>
        </is>
      </c>
      <c r="I5" s="28" t="n"/>
      <c r="J5" s="28" t="n"/>
      <c r="K5" s="17">
        <f>IF(I5="","",I5-IF(J5="",0,J5))</f>
        <v/>
      </c>
      <c r="L5" s="24" t="inlineStr"/>
      <c r="M5" s="21" t="inlineStr"/>
      <c r="N5" s="30" t="inlineStr"/>
      <c r="O5" s="14">
        <f>IF(I5="","Not Quoted",IF(K5&lt;=0,"Paid","Pending"))</f>
        <v/>
      </c>
      <c r="P5" s="25" t="n"/>
      <c r="Q5" s="25" t="inlineStr"/>
    </row>
    <row r="6">
      <c r="A6" s="20" t="inlineStr">
        <is>
          <t>Flower Decoration</t>
        </is>
      </c>
      <c r="B6" s="21" t="inlineStr"/>
      <c r="C6" s="22" t="inlineStr"/>
      <c r="D6" s="23" t="inlineStr"/>
      <c r="E6" s="24" t="n"/>
      <c r="F6" s="25" t="inlineStr"/>
      <c r="G6" s="26" t="inlineStr">
        <is>
          <t>All events</t>
        </is>
      </c>
      <c r="H6" s="27" t="inlineStr"/>
      <c r="I6" s="28" t="n"/>
      <c r="J6" s="28" t="n"/>
      <c r="K6" s="29">
        <f>IF(I6="","",I6-IF(J6="",0,J6))</f>
        <v/>
      </c>
      <c r="L6" s="24" t="inlineStr"/>
      <c r="M6" s="21" t="inlineStr"/>
      <c r="N6" s="30" t="inlineStr"/>
      <c r="O6" s="27">
        <f>IF(I6="","Not Quoted",IF(K6&lt;=0,"Paid","Pending"))</f>
        <v/>
      </c>
      <c r="P6" s="25" t="n"/>
      <c r="Q6" s="25" t="inlineStr"/>
    </row>
    <row r="7">
      <c r="A7" s="20" t="inlineStr">
        <is>
          <t>Photography &amp; Videography</t>
        </is>
      </c>
      <c r="B7" s="21" t="inlineStr">
        <is>
          <t>Kunal</t>
        </is>
      </c>
      <c r="C7" s="22" t="inlineStr">
        <is>
          <t>9763002700</t>
        </is>
      </c>
      <c r="D7" s="23" t="inlineStr"/>
      <c r="E7" s="24" t="n"/>
      <c r="F7" s="25" t="inlineStr"/>
      <c r="G7" s="26" t="inlineStr">
        <is>
          <t>All events</t>
        </is>
      </c>
      <c r="H7" s="27" t="inlineStr">
        <is>
          <t>12-Dec-2026</t>
        </is>
      </c>
      <c r="I7" s="28" t="n">
        <v>38</v>
      </c>
      <c r="J7" s="28" t="n">
        <v>0</v>
      </c>
      <c r="K7" s="29">
        <f>IF(I7="","",I7-IF(J7="",0,J7))</f>
        <v/>
      </c>
      <c r="L7" s="24" t="inlineStr"/>
      <c r="M7" s="21" t="inlineStr"/>
      <c r="N7" s="30" t="inlineStr"/>
      <c r="O7" s="27">
        <f>IF(I7="","Not Quoted",IF(K7&lt;=0,"Paid","Pending"))</f>
        <v/>
      </c>
      <c r="P7" s="25" t="n"/>
      <c r="Q7" s="25" t="inlineStr">
        <is>
          <t>Total 118, Priyanka will pay 80 rest will be paid by me</t>
        </is>
      </c>
    </row>
    <row r="8">
      <c r="A8" s="13" t="inlineStr">
        <is>
          <t>Videography</t>
        </is>
      </c>
      <c r="B8" s="21" t="inlineStr"/>
      <c r="C8" s="22" t="inlineStr"/>
      <c r="D8" s="23" t="inlineStr"/>
      <c r="E8" s="24" t="n"/>
      <c r="F8" s="25" t="inlineStr"/>
      <c r="G8" s="16" t="inlineStr">
        <is>
          <t>Wedding</t>
        </is>
      </c>
      <c r="H8" s="14" t="inlineStr">
        <is>
          <t>12-Dec-2026</t>
        </is>
      </c>
      <c r="I8" s="28" t="n"/>
      <c r="J8" s="28" t="n"/>
      <c r="K8" s="17">
        <f>IF(I8="","",I8-IF(J8="",0,J8))</f>
        <v/>
      </c>
      <c r="L8" s="24" t="inlineStr"/>
      <c r="M8" s="21" t="inlineStr"/>
      <c r="N8" s="30" t="inlineStr"/>
      <c r="O8" s="14">
        <f>IF(I8="","Not Quoted",IF(K8&lt;=0,"Paid","Pending"))</f>
        <v/>
      </c>
      <c r="P8" s="25" t="n"/>
      <c r="Q8" s="25" t="inlineStr"/>
    </row>
    <row r="9">
      <c r="A9" s="20" t="inlineStr">
        <is>
          <t>Catering (Food)</t>
        </is>
      </c>
      <c r="B9" s="21" t="inlineStr"/>
      <c r="C9" s="22" t="inlineStr"/>
      <c r="D9" s="23" t="inlineStr"/>
      <c r="E9" s="24" t="n"/>
      <c r="F9" s="25" t="inlineStr"/>
      <c r="G9" s="26" t="inlineStr">
        <is>
          <t>Sangeet, Reception, Brunch</t>
        </is>
      </c>
      <c r="H9" s="27" t="inlineStr">
        <is>
          <t>11-Dec-2026</t>
        </is>
      </c>
      <c r="I9" s="28" t="n"/>
      <c r="J9" s="28" t="n"/>
      <c r="K9" s="29">
        <f>IF(I9="","",I9-IF(J9="",0,J9))</f>
        <v/>
      </c>
      <c r="L9" s="24" t="inlineStr"/>
      <c r="M9" s="21" t="inlineStr"/>
      <c r="N9" s="30" t="inlineStr"/>
      <c r="O9" s="27">
        <f>IF(I9="","Not Quoted",IF(K9&lt;=0,"Paid","Pending"))</f>
        <v/>
      </c>
      <c r="P9" s="25" t="n"/>
      <c r="Q9" s="25" t="inlineStr"/>
    </row>
    <row r="10">
      <c r="A10" s="13" t="inlineStr">
        <is>
          <t>Pandit / Purohit</t>
        </is>
      </c>
      <c r="B10" s="21" t="inlineStr"/>
      <c r="C10" s="22" t="inlineStr"/>
      <c r="D10" s="23" t="inlineStr"/>
      <c r="E10" s="24" t="n"/>
      <c r="F10" s="25" t="inlineStr"/>
      <c r="G10" s="16" t="inlineStr">
        <is>
          <t>Wedding Ceremony</t>
        </is>
      </c>
      <c r="H10" s="14" t="inlineStr">
        <is>
          <t>12-Dec-2026</t>
        </is>
      </c>
      <c r="I10" s="28" t="n"/>
      <c r="J10" s="28" t="n"/>
      <c r="K10" s="17">
        <f>IF(I10="","",I10-IF(J10="",0,J10))</f>
        <v/>
      </c>
      <c r="L10" s="24" t="inlineStr"/>
      <c r="M10" s="21" t="inlineStr"/>
      <c r="N10" s="30" t="inlineStr"/>
      <c r="O10" s="14">
        <f>IF(I10="","Not Quoted",IF(K10&lt;=0,"Paid","Pending"))</f>
        <v/>
      </c>
      <c r="P10" s="25" t="n"/>
      <c r="Q10" s="25" t="inlineStr"/>
    </row>
    <row r="11">
      <c r="A11" s="20" t="inlineStr">
        <is>
          <t>Makeup &amp; Mehendi</t>
        </is>
      </c>
      <c r="B11" s="21" t="inlineStr"/>
      <c r="C11" s="22" t="inlineStr"/>
      <c r="D11" s="23" t="inlineStr"/>
      <c r="E11" s="24" t="n"/>
      <c r="F11" s="25" t="inlineStr"/>
      <c r="G11" s="26" t="inlineStr">
        <is>
          <t>Mehendi</t>
        </is>
      </c>
      <c r="H11" s="27" t="inlineStr">
        <is>
          <t>10-Dec-2026</t>
        </is>
      </c>
      <c r="I11" s="28" t="n"/>
      <c r="J11" s="28" t="n"/>
      <c r="K11" s="29">
        <f>IF(I11="","",I11-IF(J11="",0,J11))</f>
        <v/>
      </c>
      <c r="L11" s="24" t="inlineStr"/>
      <c r="M11" s="21" t="inlineStr"/>
      <c r="N11" s="30" t="inlineStr"/>
      <c r="O11" s="27">
        <f>IF(I11="","Not Quoted",IF(K11&lt;=0,"Paid","Pending"))</f>
        <v/>
      </c>
      <c r="P11" s="25" t="n"/>
      <c r="Q11" s="25" t="inlineStr"/>
    </row>
    <row r="12">
      <c r="A12" s="13" t="inlineStr">
        <is>
          <t>Stage &amp; Seating</t>
        </is>
      </c>
      <c r="B12" s="21" t="inlineStr"/>
      <c r="C12" s="22" t="inlineStr"/>
      <c r="D12" s="23" t="inlineStr"/>
      <c r="E12" s="24" t="n"/>
      <c r="F12" s="25" t="inlineStr"/>
      <c r="G12" s="16" t="inlineStr">
        <is>
          <t>Sangeet + Wedding</t>
        </is>
      </c>
      <c r="H12" s="14" t="inlineStr">
        <is>
          <t>11-Dec-2026</t>
        </is>
      </c>
      <c r="I12" s="28" t="n"/>
      <c r="J12" s="28" t="n"/>
      <c r="K12" s="17">
        <f>IF(I12="","",I12-IF(J12="",0,J12))</f>
        <v/>
      </c>
      <c r="L12" s="24" t="inlineStr"/>
      <c r="M12" s="21" t="inlineStr"/>
      <c r="N12" s="30" t="inlineStr"/>
      <c r="O12" s="14">
        <f>IF(I12="","Not Quoted",IF(K12&lt;=0,"Paid","Pending"))</f>
        <v/>
      </c>
      <c r="P12" s="25" t="n"/>
      <c r="Q12" s="25" t="inlineStr"/>
    </row>
    <row r="13">
      <c r="A13" s="20" t="inlineStr">
        <is>
          <t>Transport / Cars</t>
        </is>
      </c>
      <c r="B13" s="21" t="inlineStr"/>
      <c r="C13" s="22" t="inlineStr"/>
      <c r="D13" s="23" t="inlineStr"/>
      <c r="E13" s="24" t="n"/>
      <c r="F13" s="25" t="inlineStr"/>
      <c r="G13" s="26" t="inlineStr">
        <is>
          <t>Baraat</t>
        </is>
      </c>
      <c r="H13" s="27" t="inlineStr">
        <is>
          <t>12-Dec-2026</t>
        </is>
      </c>
      <c r="I13" s="28" t="n"/>
      <c r="J13" s="28" t="n"/>
      <c r="K13" s="29">
        <f>IF(I13="","",I13-IF(J13="",0,J13))</f>
        <v/>
      </c>
      <c r="L13" s="24" t="inlineStr"/>
      <c r="M13" s="21" t="inlineStr"/>
      <c r="N13" s="30" t="inlineStr"/>
      <c r="O13" s="27">
        <f>IF(I13="","Not Quoted",IF(K13&lt;=0,"Paid","Pending"))</f>
        <v/>
      </c>
      <c r="P13" s="25" t="n"/>
      <c r="Q13" s="25" t="inlineStr"/>
    </row>
    <row r="14">
      <c r="A14" s="13" t="inlineStr">
        <is>
          <t>Return Gifts / Favours</t>
        </is>
      </c>
      <c r="B14" s="21" t="inlineStr"/>
      <c r="C14" s="22" t="inlineStr"/>
      <c r="D14" s="23" t="inlineStr"/>
      <c r="E14" s="24" t="n"/>
      <c r="F14" s="25" t="inlineStr"/>
      <c r="G14" s="16" t="inlineStr">
        <is>
          <t>Reception</t>
        </is>
      </c>
      <c r="H14" s="14" t="inlineStr">
        <is>
          <t>12-Dec-2026</t>
        </is>
      </c>
      <c r="I14" s="28" t="n"/>
      <c r="J14" s="28" t="n"/>
      <c r="K14" s="17">
        <f>IF(I14="","",I14-IF(J14="",0,J14))</f>
        <v/>
      </c>
      <c r="L14" s="24" t="inlineStr"/>
      <c r="M14" s="21" t="inlineStr"/>
      <c r="N14" s="30" t="inlineStr"/>
      <c r="O14" s="14">
        <f>IF(I14="","Not Quoted",IF(K14&lt;=0,"Paid","Pending"))</f>
        <v/>
      </c>
      <c r="P14" s="25" t="n"/>
      <c r="Q14" s="25" t="inlineStr"/>
    </row>
    <row r="15">
      <c r="A15" s="20" t="inlineStr">
        <is>
          <t>Haldi &amp; Mehendi Items</t>
        </is>
      </c>
      <c r="B15" s="21" t="inlineStr"/>
      <c r="C15" s="22" t="inlineStr"/>
      <c r="D15" s="23" t="inlineStr"/>
      <c r="E15" s="24" t="n"/>
      <c r="F15" s="25" t="inlineStr"/>
      <c r="G15" s="26" t="inlineStr">
        <is>
          <t>Haldi</t>
        </is>
      </c>
      <c r="H15" s="27" t="inlineStr">
        <is>
          <t>11-Dec-2026</t>
        </is>
      </c>
      <c r="I15" s="28" t="n"/>
      <c r="J15" s="28" t="n"/>
      <c r="K15" s="29">
        <f>IF(I15="","",I15-IF(J15="",0,J15))</f>
        <v/>
      </c>
      <c r="L15" s="24" t="inlineStr"/>
      <c r="M15" s="21" t="inlineStr"/>
      <c r="N15" s="30" t="inlineStr"/>
      <c r="O15" s="27">
        <f>IF(I15="","Not Quoted",IF(K15&lt;=0,"Paid","Pending"))</f>
        <v/>
      </c>
      <c r="P15" s="25" t="n"/>
      <c r="Q15" s="25" t="inlineStr"/>
    </row>
    <row r="16">
      <c r="A16" s="13" t="inlineStr">
        <is>
          <t>Safa Wala</t>
        </is>
      </c>
      <c r="B16" s="21" t="inlineStr">
        <is>
          <t>Feta by Rohit</t>
        </is>
      </c>
      <c r="C16" s="22" t="inlineStr">
        <is>
          <t>09270236512</t>
        </is>
      </c>
      <c r="D16" s="23" t="inlineStr"/>
      <c r="E16" s="24" t="n"/>
      <c r="F16" s="25" t="inlineStr"/>
      <c r="G16" s="16" t="inlineStr">
        <is>
          <t>Wedding</t>
        </is>
      </c>
      <c r="H16" s="14" t="inlineStr">
        <is>
          <t>11-Dec-2026</t>
        </is>
      </c>
      <c r="I16" s="28" t="n"/>
      <c r="J16" s="28" t="n"/>
      <c r="K16" s="17">
        <f>IF(I16="","",I16-IF(J16="",0,J16))</f>
        <v/>
      </c>
      <c r="L16" s="24" t="inlineStr"/>
      <c r="M16" s="21" t="inlineStr"/>
      <c r="N16" s="30" t="inlineStr"/>
      <c r="O16" s="14">
        <f>IF(I16="","Not Quoted",IF(K16&lt;=0,"Paid","Pending"))</f>
        <v/>
      </c>
      <c r="P16" s="25" t="n"/>
      <c r="Q16" s="25" t="inlineStr"/>
    </row>
    <row r="17">
      <c r="A17" s="13" t="inlineStr">
        <is>
          <t>Car Booking</t>
        </is>
      </c>
      <c r="B17" s="21" t="inlineStr">
        <is>
          <t>Zippy Car Rental-Self Drive Cars</t>
        </is>
      </c>
      <c r="C17" s="22" t="inlineStr">
        <is>
          <t>+91 99212 08410</t>
        </is>
      </c>
      <c r="D17" s="23" t="inlineStr"/>
      <c r="E17" s="24" t="n"/>
      <c r="F17" s="25" t="inlineStr"/>
      <c r="G17" s="16" t="inlineStr">
        <is>
          <t>All events</t>
        </is>
      </c>
      <c r="H17" s="14" t="inlineStr"/>
      <c r="I17" s="28" t="n"/>
      <c r="J17" s="28" t="n"/>
      <c r="K17" s="17">
        <f>IF(I17="","",I17-IF(J17="",0,J17))</f>
        <v/>
      </c>
      <c r="L17" s="24" t="inlineStr"/>
      <c r="M17" s="21" t="inlineStr"/>
      <c r="N17" s="30" t="inlineStr"/>
      <c r="O17" s="14">
        <f>IF(I17="","Not Quoted",IF(K17&lt;=0,"Paid","Pending"))</f>
        <v/>
      </c>
      <c r="P17" s="25" t="n"/>
      <c r="Q17" s="25" t="inlineStr"/>
    </row>
    <row r="18" ht="75" customHeight="1" s="49">
      <c r="A18" s="38" t="inlineStr">
        <is>
          <t>Hotel - Nirmal's Executive</t>
        </is>
      </c>
      <c r="B18" s="21" t="inlineStr">
        <is>
          <t>Nirmal Reception</t>
        </is>
      </c>
      <c r="C18" s="39" t="inlineStr">
        <is>
          <t>+91 93091 74167</t>
        </is>
      </c>
      <c r="D18" s="57" t="inlineStr">
        <is>
          <t>+919309174167</t>
        </is>
      </c>
      <c r="E18" s="24" t="n"/>
      <c r="F18" s="40" t="inlineStr">
        <is>
          <t>Sr No 40,2, Classic Gloria, near Angraj Dhaba, Yewalewadi, Sinhgad Kondwa, Danny Mehata Nagar, Kondhwa Budruk, Pune, Maharashtra 411048, India</t>
        </is>
      </c>
      <c r="G18" s="41" t="inlineStr">
        <is>
          <t>Accommodation 08-14 Dec</t>
        </is>
      </c>
      <c r="H18" s="16" t="inlineStr"/>
      <c r="I18" s="14" t="n">
        <v>93000</v>
      </c>
      <c r="J18" s="17" t="n">
        <v>25000</v>
      </c>
      <c r="K18" s="17">
        <f>IF(I18="","",I18-IF(J18="",0,J18))</f>
        <v/>
      </c>
      <c r="L18" s="17" t="inlineStr"/>
      <c r="M18" s="14" t="inlineStr"/>
      <c r="N18" s="14" t="inlineStr"/>
      <c r="O18" s="18">
        <f>IF(I18="","Not Quoted",IF(K18&lt;=0,"Paid","Pending"))</f>
        <v/>
      </c>
      <c r="P18" s="16" t="n"/>
      <c r="Q18" s="46" t="inlineStr"/>
    </row>
    <row r="19">
      <c r="A19" s="31" t="inlineStr">
        <is>
          <t>TOTAL</t>
        </is>
      </c>
      <c r="B19" s="32" t="n"/>
      <c r="C19" s="32" t="n"/>
      <c r="D19" s="32" t="n"/>
      <c r="E19" s="32" t="n"/>
      <c r="F19" s="32" t="n"/>
      <c r="G19" s="32" t="n"/>
      <c r="H19" s="32" t="n"/>
      <c r="I19" s="33">
        <f>SUM(I4:I18)</f>
        <v/>
      </c>
      <c r="J19" s="33">
        <f>SUM(J4:J18)</f>
        <v/>
      </c>
      <c r="K19" s="33">
        <f>SUM(K4:K18)</f>
        <v/>
      </c>
      <c r="L19" s="32" t="n"/>
      <c r="M19" s="32" t="n"/>
      <c r="N19" s="32" t="n"/>
      <c r="O19" s="32" t="n"/>
      <c r="P19" s="32" t="n"/>
      <c r="Q19" s="32" t="n"/>
    </row>
    <row r="21">
      <c r="A21" s="48" t="inlineStr">
        <is>
          <t>PAYMENT SUMMARY</t>
        </is>
      </c>
    </row>
    <row r="22">
      <c r="A22" s="3" t="inlineStr">
        <is>
          <t>Total quoted</t>
        </is>
      </c>
      <c r="B22" s="34">
        <f>I19</f>
        <v/>
      </c>
    </row>
    <row r="23">
      <c r="A23" s="3" t="inlineStr">
        <is>
          <t>Total paid</t>
        </is>
      </c>
      <c r="B23" s="34">
        <f>J19</f>
        <v/>
      </c>
    </row>
    <row r="24">
      <c r="A24" s="3" t="inlineStr">
        <is>
          <t>Total outstanding</t>
        </is>
      </c>
      <c r="B24" s="34">
        <f>K19</f>
        <v/>
      </c>
    </row>
    <row r="25">
      <c r="A25" s="3" t="inlineStr">
        <is>
          <t>Vendors still pending</t>
        </is>
      </c>
      <c r="B25" s="35">
        <f>COUNTIF(O4:O18,"Pending")</f>
        <v/>
      </c>
    </row>
    <row r="26">
      <c r="A26" s="3" t="inlineStr">
        <is>
          <t>Vendors fully paid</t>
        </is>
      </c>
      <c r="B26" s="35">
        <f>COUNTIF(O4:O18,"Paid")</f>
        <v/>
      </c>
    </row>
    <row r="27">
      <c r="A27" s="3" t="inlineStr">
        <is>
          <t>Not quoted yet</t>
        </is>
      </c>
      <c r="B27" s="35">
        <f>COUNTIF(O4:O18,"Not Quoted")</f>
        <v/>
      </c>
    </row>
    <row r="29">
      <c r="A29" s="50" t="inlineStr">
        <is>
          <t>Status is automatic:  no amount yet -&gt; Not Quoted  |  balance cleared -&gt; Paid  |  balance left -&gt; Pending.  Filter column O to see who still owes money.</t>
        </is>
      </c>
    </row>
    <row r="30">
      <c r="A30" s="50" t="inlineStr">
        <is>
          <t>Quote PDF links to the invoice file. Drop new invoices in the 'Vendor PDFs' folder next to this workbook and link them the same way. Keep the folder together with the workbook or the links break.</t>
        </is>
      </c>
    </row>
    <row r="31">
      <c r="A31" s="50" t="inlineStr">
        <is>
          <t>Invoice terms for each vendor are on that vendor's own sheet, e.g. 'Deeplaxmie Events'.</t>
        </is>
      </c>
    </row>
    <row r="32">
      <c r="A32" s="50" t="inlineStr">
        <is>
          <t>Rule: one row per vendor.  Never split one invoice into several vendor rows - if a single invoice covers DJ, sound, lighting and generator, all of it belongs in that one vendor's row and that one total.  Add a new row only for a genuinely new vendor.</t>
        </is>
      </c>
    </row>
    <row r="33">
      <c r="A33" s="50" t="inlineStr">
        <is>
          <t>Extracted invoice line items live on that vendor's own sheet - one sheet per vendor.</t>
        </is>
      </c>
    </row>
    <row r="34">
      <c r="A34" s="50" t="n"/>
    </row>
    <row r="39" ht="24" customHeight="1" s="49"/>
    <row r="40" ht="24" customHeight="1" s="49"/>
    <row r="41" ht="24" customHeight="1" s="49"/>
    <row r="42" ht="24" customHeight="1" s="49"/>
  </sheetData>
  <autoFilter ref="A3:Q18"/>
  <mergeCells count="5">
    <mergeCell ref="A31:Q31"/>
    <mergeCell ref="A30:Q30"/>
    <mergeCell ref="A29:Q29"/>
    <mergeCell ref="A33:Q33"/>
    <mergeCell ref="A32:Q32"/>
  </mergeCells>
  <conditionalFormatting sqref="K4:K17">
    <cfRule type="cellIs" priority="2" operator="greaterThan" dxfId="0">
      <formula>0</formula>
    </cfRule>
  </conditionalFormatting>
  <conditionalFormatting sqref="O4:O17">
    <cfRule type="cellIs" priority="3" operator="equal" dxfId="2">
      <formula>"Paid"</formula>
    </cfRule>
    <cfRule type="cellIs" priority="4" operator="equal" dxfId="1">
      <formula>"Pending"</formula>
    </cfRule>
  </conditionalFormatting>
  <conditionalFormatting sqref="L18">
    <cfRule type="cellIs" priority="1" operator="greaterThan" dxfId="0">
      <formula>0</formula>
    </cfRule>
  </conditionalFormatting>
  <dataValidations count="1">
    <dataValidation sqref="L4:L18" showDropDown="0" showInputMessage="0" showErrorMessage="0" allowBlank="1" type="list">
      <formula1>"Cash,UPI,Bank Transfer,Card,Cheque,Other"</formula1>
    </dataValidation>
  </dataValidations>
  <hyperlinks>
    <hyperlink xmlns:r="http://schemas.openxmlformats.org/officeDocument/2006/relationships" ref="P4"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showGridLines="0" zoomScale="136" workbookViewId="0">
      <pane ySplit="6" topLeftCell="A7" activePane="bottomLeft" state="frozen"/>
      <selection pane="bottomLeft" activeCell="A1" sqref="A1:E1"/>
    </sheetView>
  </sheetViews>
  <sheetFormatPr baseColWidth="10" defaultColWidth="8.83203125" defaultRowHeight="15"/>
  <cols>
    <col width="34" customWidth="1" style="49" min="1" max="1"/>
    <col width="10" customWidth="1" style="49" min="2" max="2"/>
    <col width="14" customWidth="1" style="49" min="3" max="4"/>
    <col width="4" customWidth="1" style="49" min="5" max="5"/>
  </cols>
  <sheetData>
    <row r="1" ht="21" customHeight="1" s="49">
      <c r="A1" s="52" t="inlineStr">
        <is>
          <t>BAND / BARAAT — INVOICE 284 BREAKDOWN (Deeplaxmie Events, 11-Dec-2026, 7:00-10:00 PM)</t>
        </is>
      </c>
    </row>
    <row r="2">
      <c r="A2" s="51" t="inlineStr">
        <is>
          <t>Band / Baraat &amp; DJ &amp; Sound System  |  11-Dec-2026, 7:00-10:00 PM  |  Raviwar Peth, Moti Chowk, Pune 411002  |  8605622211</t>
        </is>
      </c>
    </row>
    <row r="3">
      <c r="A3" s="50" t="inlineStr">
        <is>
          <t>REFERENCE ONLY. These figures do not feed the Vendors sheet. The whole invoice is tracked as ONE vendor row (Vendors row 5) so nothing is double counted.</t>
        </is>
      </c>
    </row>
    <row r="5">
      <c r="A5" s="48" t="inlineStr">
        <is>
          <t>INVOICE LINE ITEMS</t>
        </is>
      </c>
    </row>
    <row r="6">
      <c r="A6" s="5" t="inlineStr">
        <is>
          <t>Item</t>
        </is>
      </c>
      <c r="B6" s="5" t="inlineStr">
        <is>
          <t>Qty</t>
        </is>
      </c>
      <c r="C6" s="5" t="inlineStr">
        <is>
          <t>Unit price</t>
        </is>
      </c>
      <c r="D6" s="5" t="inlineStr">
        <is>
          <t>Total</t>
        </is>
      </c>
    </row>
    <row r="7">
      <c r="A7" s="14" t="inlineStr">
        <is>
          <t>Baraat DJ Truck</t>
        </is>
      </c>
      <c r="B7" s="34" t="n">
        <v>1</v>
      </c>
      <c r="C7" s="34" t="n">
        <v>25000</v>
      </c>
      <c r="D7" s="34" t="n">
        <v>25000</v>
      </c>
    </row>
    <row r="8">
      <c r="A8" s="14" t="inlineStr">
        <is>
          <t>Light Chatri</t>
        </is>
      </c>
      <c r="B8" s="34" t="n">
        <v>8</v>
      </c>
      <c r="C8" s="34" t="n">
        <v>2000</v>
      </c>
      <c r="D8" s="34" t="n">
        <v>16000</v>
      </c>
    </row>
    <row r="9">
      <c r="A9" s="14" t="inlineStr">
        <is>
          <t>Punjabhi Dhol</t>
        </is>
      </c>
      <c r="B9" s="34" t="n">
        <v>2</v>
      </c>
      <c r="C9" s="34" t="n">
        <v>2000</v>
      </c>
      <c r="D9" s="34" t="n">
        <v>4000</v>
      </c>
    </row>
    <row r="10">
      <c r="A10" s="36" t="inlineStr">
        <is>
          <t>Sub Total</t>
        </is>
      </c>
      <c r="D10" s="37" t="n">
        <v>45000</v>
      </c>
    </row>
    <row r="11">
      <c r="A11" s="36" t="inlineStr">
        <is>
          <t>Less: Discounts</t>
        </is>
      </c>
      <c r="D11" s="37" t="n">
        <v>-4000</v>
      </c>
    </row>
    <row r="12">
      <c r="A12" s="36" t="inlineStr">
        <is>
          <t>Total</t>
        </is>
      </c>
      <c r="D12" s="44" t="n">
        <v>41000</v>
      </c>
    </row>
    <row r="13">
      <c r="A13" s="36" t="inlineStr">
        <is>
          <t>Advance paid</t>
        </is>
      </c>
      <c r="D13" s="37" t="n">
        <v>11000</v>
      </c>
    </row>
    <row r="14">
      <c r="A14" s="36" t="inlineStr">
        <is>
          <t>Balance due</t>
        </is>
      </c>
      <c r="D14" s="44" t="n">
        <v>30000</v>
      </c>
    </row>
    <row r="16">
      <c r="A16" s="48" t="inlineStr">
        <is>
          <t>INVOICE TERMS</t>
        </is>
      </c>
    </row>
    <row r="17">
      <c r="A17" s="50" t="inlineStr">
        <is>
          <t>Invoice 284 terms: advance is non-refundable, balance must clear before or on event day prior to setup, crowd damage is chargeable, extra hours are billed extra.</t>
        </is>
      </c>
    </row>
    <row r="18">
      <c r="A18" s="48" t="inlineStr">
        <is>
          <t>QUOTE / INVOICE PDF</t>
        </is>
      </c>
    </row>
    <row r="19">
      <c r="A19" s="45" t="inlineStr">
        <is>
          <t>Open PDF</t>
        </is>
      </c>
    </row>
    <row r="21">
      <c r="A21" s="50" t="inlineStr">
        <is>
          <t>Vendor totals and payment status live on the Vendors sheet - this sheet is the itemised source of the 41,000.</t>
        </is>
      </c>
    </row>
    <row r="35">
      <c r="A35" s="50" t="n"/>
    </row>
  </sheetData>
  <mergeCells count="8">
    <mergeCell ref="A21:E21"/>
    <mergeCell ref="A16:E16"/>
    <mergeCell ref="A2:E2"/>
    <mergeCell ref="A5:E5"/>
    <mergeCell ref="A1:E1"/>
    <mergeCell ref="A17:E17"/>
    <mergeCell ref="A18:E18"/>
    <mergeCell ref="A3:E3"/>
  </mergeCells>
  <hyperlinks>
    <hyperlink xmlns:r="http://schemas.openxmlformats.org/officeDocument/2006/relationships" ref="A19"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zoomScale="137" workbookViewId="0">
      <pane ySplit="3" topLeftCell="A4" activePane="bottomLeft" state="frozen"/>
      <selection pane="bottomLeft" activeCell="F21" sqref="F21"/>
    </sheetView>
  </sheetViews>
  <sheetFormatPr baseColWidth="10" defaultColWidth="8.83203125" defaultRowHeight="15"/>
  <cols>
    <col width="30" customWidth="1" style="49" min="1" max="1"/>
    <col width="10" customWidth="1" style="49" min="2" max="2"/>
    <col width="14" customWidth="1" style="49" min="3" max="3"/>
    <col width="46" customWidth="1" style="49" min="4" max="4"/>
    <col width="4" customWidth="1" style="49" min="5" max="5"/>
  </cols>
  <sheetData>
    <row r="1" ht="21" customHeight="1" s="49">
      <c r="A1" s="52" t="inlineStr">
        <is>
          <t>NIRMAL'S EXECUTIVE — HOTEL COST DETAIL</t>
        </is>
      </c>
    </row>
    <row r="2">
      <c r="A2" s="51" t="inlineStr">
        <is>
          <t>+91 93091 74167  |  Sr No 40,2, Classic Gloria, near Angraj Dhaba, Yewalewadi, Sinhgad Kondwa, Danny Mehata Nagar, Kondhwa Budruk, Pune, Maharashtra 411048, India</t>
        </is>
      </c>
    </row>
    <row r="3">
      <c r="A3" s="50" t="inlineStr">
        <is>
          <t>REFERENCE / DETAIL VIEW. The hotel is tracked as ONE row on the Vendors sheet (row 19) and its 84,000 / 25,000 are included in the Vendors TOTAL. This sheet only breaks the cost down — it does not add to the totals a second time.</t>
        </is>
      </c>
    </row>
    <row r="5">
      <c r="A5" s="48" t="inlineStr">
        <is>
          <t>BOOKING</t>
        </is>
      </c>
    </row>
    <row r="6">
      <c r="A6" s="14" t="inlineStr">
        <is>
          <t>Check-in</t>
        </is>
      </c>
      <c r="D6" s="34" t="inlineStr">
        <is>
          <t>08-Dec-2026</t>
        </is>
      </c>
    </row>
    <row r="7">
      <c r="A7" s="14" t="inlineStr">
        <is>
          <t>Check-out</t>
        </is>
      </c>
      <c r="D7" s="34" t="inlineStr">
        <is>
          <t>14-Dec-2026</t>
        </is>
      </c>
    </row>
    <row r="8">
      <c r="A8" s="14" t="inlineStr">
        <is>
          <t>Total rooms</t>
        </is>
      </c>
      <c r="D8" s="34" t="n">
        <v>10</v>
      </c>
    </row>
    <row r="9">
      <c r="A9" s="14" t="inlineStr">
        <is>
          <t>Total room-nights</t>
        </is>
      </c>
      <c r="D9" s="34" t="n">
        <v>37</v>
      </c>
    </row>
    <row r="11">
      <c r="A11" s="48" t="inlineStr">
        <is>
          <t>ROOM-NIGHT PLAN</t>
        </is>
      </c>
    </row>
    <row r="12">
      <c r="A12" s="5" t="inlineStr">
        <is>
          <t>Date</t>
        </is>
      </c>
      <c r="B12" s="5" t="inlineStr">
        <is>
          <t>Rooms</t>
        </is>
      </c>
      <c r="C12" s="5" t="inlineStr">
        <is>
          <t>Room-nights</t>
        </is>
      </c>
    </row>
    <row r="13">
      <c r="A13" s="14" t="inlineStr">
        <is>
          <t>08-Dec</t>
        </is>
      </c>
      <c r="B13" s="34" t="n">
        <v>2</v>
      </c>
      <c r="C13" s="34" t="n">
        <v>2</v>
      </c>
    </row>
    <row r="14">
      <c r="A14" s="14" t="inlineStr">
        <is>
          <t>09-Dec</t>
        </is>
      </c>
      <c r="B14" s="34" t="n">
        <v>3</v>
      </c>
      <c r="C14" s="34" t="n">
        <v>3</v>
      </c>
    </row>
    <row r="15">
      <c r="A15" s="14" t="inlineStr">
        <is>
          <t>10-Dec</t>
        </is>
      </c>
      <c r="B15" s="34" t="n">
        <v>10</v>
      </c>
      <c r="C15" s="34" t="n">
        <v>10</v>
      </c>
    </row>
    <row r="16">
      <c r="A16" s="14" t="inlineStr">
        <is>
          <t>11-Dec</t>
        </is>
      </c>
      <c r="B16" s="34" t="n">
        <v>10</v>
      </c>
      <c r="C16" s="34" t="n">
        <v>10</v>
      </c>
    </row>
    <row r="17">
      <c r="A17" s="14" t="inlineStr">
        <is>
          <t>12-Dec</t>
        </is>
      </c>
      <c r="B17" s="34" t="n">
        <v>10</v>
      </c>
      <c r="C17" s="34" t="n">
        <v>10</v>
      </c>
    </row>
    <row r="18">
      <c r="A18" s="14" t="inlineStr">
        <is>
          <t>13-Dec</t>
        </is>
      </c>
      <c r="B18" s="34" t="n">
        <v>2</v>
      </c>
      <c r="C18" s="34" t="n">
        <v>2</v>
      </c>
    </row>
    <row r="19">
      <c r="A19" s="36" t="inlineStr">
        <is>
          <t>TOTAL</t>
        </is>
      </c>
      <c r="B19" s="44">
        <f>SUM(B13:B18)</f>
        <v/>
      </c>
      <c r="C19" s="44">
        <f>SUM(C13:C18)</f>
        <v/>
      </c>
    </row>
    <row r="21">
      <c r="A21" s="48" t="inlineStr">
        <is>
          <t>COST</t>
        </is>
      </c>
    </row>
    <row r="22">
      <c r="A22" s="14" t="inlineStr">
        <is>
          <t>Amount quoted</t>
        </is>
      </c>
      <c r="D22" s="34" t="n">
        <v>84000</v>
      </c>
    </row>
    <row r="23">
      <c r="A23" s="14" t="inlineStr">
        <is>
          <t>Amount paid</t>
        </is>
      </c>
      <c r="D23" s="34" t="n">
        <v>25000</v>
      </c>
    </row>
    <row r="24">
      <c r="A24" s="36" t="inlineStr">
        <is>
          <t>Balance due</t>
        </is>
      </c>
      <c r="D24" s="44">
        <f>D22-D23</f>
        <v/>
      </c>
    </row>
    <row r="25">
      <c r="A25" s="14" t="inlineStr">
        <is>
          <t>Average per room-night (derived)</t>
        </is>
      </c>
      <c r="D25" s="47">
        <f>ROUND(D22/C19,2)</f>
        <v/>
      </c>
    </row>
    <row r="26">
      <c r="A26" s="50" t="inlineStr">
        <is>
          <t>Sanity check only: 84,000 ÷ 37 room-nights = 2,270.27 on average. This is a derived average, not a per-night rate the hotel quoted — confirm the actual rate and any taxes or extras with them before paying the balance.</t>
        </is>
      </c>
    </row>
    <row r="28">
      <c r="A28" s="48" t="inlineStr">
        <is>
          <t>CONTACT</t>
        </is>
      </c>
    </row>
    <row r="29">
      <c r="A29" s="14" t="inlineStr">
        <is>
          <t>Google rating</t>
        </is>
      </c>
      <c r="D29" s="34" t="inlineStr">
        <is>
          <t>4,792 reviews</t>
        </is>
      </c>
    </row>
    <row r="30">
      <c r="A30" s="14" t="inlineStr">
        <is>
          <t>Phone</t>
        </is>
      </c>
      <c r="D30" s="34" t="inlineStr">
        <is>
          <t>+91 93091 74167</t>
        </is>
      </c>
    </row>
    <row r="31">
      <c r="A31" s="14" t="inlineStr">
        <is>
          <t>Address</t>
        </is>
      </c>
      <c r="D31" s="34" t="inlineStr">
        <is>
          <t>Sr No 40,2, Classic Gloria, near Angraj Dhaba, Yewalewadi, Sinhgad Kondwa, Danny Mehata Nagar, Kondhwa Budruk, Pune, Maharashtra 411048, India</t>
        </is>
      </c>
    </row>
    <row r="33">
      <c r="A33" s="50" t="inlineStr">
        <is>
          <t>Room-by-night allocation grid is on the Nirmal sheet. Payment status, UTR and balance on the Vendors sheet.</t>
        </is>
      </c>
    </row>
  </sheetData>
  <mergeCells count="9">
    <mergeCell ref="A21:E21"/>
    <mergeCell ref="A26:E26"/>
    <mergeCell ref="A2:E2"/>
    <mergeCell ref="A28:E28"/>
    <mergeCell ref="A33:E33"/>
    <mergeCell ref="A11:E11"/>
    <mergeCell ref="A1:E1"/>
    <mergeCell ref="A5:E5"/>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2026-09-28T14:26:10Z</dcterms:created>
  <dcterms:modified xsi:type="dcterms:W3CDTF">2026-10-21T11:43:39Z</dcterms:modified>
  <cp:lastModifiedBy>Suraj Singh</cp:lastModifiedBy>
</cp:coreProperties>
</file>