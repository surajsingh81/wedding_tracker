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160" tabRatio="600" firstSheet="0" activeTab="2" autoFilterDateGrouping="1"/>
  </bookViews>
  <sheets>
    <sheet name="Nirmal" sheetId="1" state="visible" r:id="rId1"/>
    <sheet name="Amarai" sheetId="2" state="visible" r:id="rId2"/>
    <sheet name="Vendors" sheetId="3" state="visible" r:id="rId3"/>
    <sheet name="Deeplaxmie Events" sheetId="4" state="visible" r:id="rId4"/>
    <sheet name="Nirmal's Executive" sheetId="5" state="visible" r:id="rId5"/>
  </sheets>
  <definedNames>
    <definedName name="_xlnm._FilterDatabase" localSheetId="2" hidden="1">'Vendors'!$A$3:$Q$18</definedName>
  </definedNames>
  <calcPr calcId="191029" fullCalcOnLoad="1"/>
</workbook>
</file>

<file path=xl/styles.xml><?xml version="1.0" encoding="utf-8"?>
<styleSheet xmlns="http://schemas.openxmlformats.org/spreadsheetml/2006/main">
  <numFmts count="1">
    <numFmt numFmtId="164" formatCode="dd\-mmm\-yyyy"/>
  </numFmts>
  <fonts count="14">
    <font>
      <name val="Calibri"/>
      <family val="2"/>
      <color theme="1"/>
      <sz val="11"/>
      <scheme val="minor"/>
    </font>
    <font>
      <name val="Calibri"/>
      <family val="2"/>
      <b val="1"/>
      <color rgb="FF1F3864"/>
      <sz val="16"/>
    </font>
    <font>
      <name val="Calibri"/>
      <family val="2"/>
      <i val="1"/>
      <color rgb="FF595959"/>
      <sz val="10"/>
    </font>
    <font>
      <name val="Calibri"/>
      <family val="2"/>
      <b val="1"/>
      <color rgb="FFFFFFFF"/>
      <sz val="11"/>
    </font>
    <font>
      <name val="Calibri"/>
      <family val="2"/>
      <b val="1"/>
      <sz val="10"/>
    </font>
    <font>
      <name val="Calibri"/>
      <family val="2"/>
      <sz val="10"/>
    </font>
    <font>
      <name val="Calibri"/>
      <family val="2"/>
      <b val="1"/>
      <color rgb="FFFFFFFF"/>
      <sz val="10"/>
    </font>
    <font>
      <name val="Calibri"/>
      <family val="2"/>
      <b val="1"/>
      <color rgb="FF1F3864"/>
      <sz val="10"/>
    </font>
    <font>
      <name val="Calibri"/>
      <family val="2"/>
      <i val="1"/>
      <color rgb="FF595959"/>
      <sz val="9"/>
    </font>
    <font>
      <name val="Calibri"/>
      <family val="2"/>
      <color rgb="FF0563C1"/>
      <sz val="10"/>
      <u val="single"/>
    </font>
    <font>
      <name val="Calibri"/>
      <family val="2"/>
      <sz val="10"/>
    </font>
    <font>
      <name val="Calibri"/>
      <b val="1"/>
      <sz val="10"/>
    </font>
    <font>
      <name val="Calibri"/>
      <color rgb="FF0563C1"/>
      <sz val="10"/>
      <u val="single"/>
    </font>
    <font>
      <name val="Calibri"/>
      <family val="2"/>
      <sz val="10"/>
      <scheme val="minor"/>
    </font>
  </fonts>
  <fills count="9">
    <fill>
      <patternFill/>
    </fill>
    <fill>
      <patternFill patternType="gray125"/>
    </fill>
    <fill>
      <patternFill patternType="solid">
        <fgColor rgb="FF2E5C8A"/>
      </patternFill>
    </fill>
    <fill>
      <patternFill patternType="solid">
        <fgColor rgb="FF1F3864"/>
      </patternFill>
    </fill>
    <fill>
      <patternFill patternType="solid">
        <fgColor rgb="FFFFF2CC"/>
      </patternFill>
    </fill>
    <fill>
      <patternFill patternType="solid">
        <fgColor rgb="FFDCE6F1"/>
      </patternFill>
    </fill>
    <fill>
      <patternFill patternType="solid">
        <fgColor rgb="FFFFFFFF"/>
      </patternFill>
    </fill>
    <fill>
      <patternFill patternType="solid">
        <fgColor rgb="FFF2F6FA"/>
      </patternFill>
    </fill>
    <fill>
      <patternFill patternType="solid">
        <fgColor rgb="FFFFFFFF"/>
        <bgColor rgb="FF000000"/>
      </patternFill>
    </fill>
  </fills>
  <borders count="6">
    <border>
      <left/>
      <right/>
      <top/>
      <bottom/>
      <diagonal/>
    </border>
    <border>
      <left style="thin">
        <color rgb="FFB7C4D4"/>
      </left>
      <right style="thin">
        <color rgb="FFB7C4D4"/>
      </right>
      <top style="thin">
        <color rgb="FFB7C4D4"/>
      </top>
      <bottom style="thin">
        <color rgb="FFB7C4D4"/>
      </bottom>
      <diagonal/>
    </border>
    <border>
      <left style="thin">
        <color rgb="FFB7C4D4"/>
      </left>
      <right style="thin">
        <color rgb="FFB7C4D4"/>
      </right>
      <top style="thin">
        <color rgb="FFB7C4D4"/>
      </top>
      <bottom style="thin">
        <color rgb="FFB7C4D4"/>
      </bottom>
      <diagonal/>
    </border>
    <border>
      <left/>
      <right style="thin">
        <color rgb="FFB7C4D4"/>
      </right>
      <top style="thin">
        <color rgb="FFB7C4D4"/>
      </top>
      <bottom style="thin">
        <color rgb="FFB7C4D4"/>
      </bottom>
      <diagonal/>
    </border>
    <border>
      <left/>
      <right/>
      <top style="thin">
        <color rgb="FFB7C4D4"/>
      </top>
      <bottom/>
      <diagonal/>
    </border>
    <border>
      <left/>
      <right style="thin">
        <color rgb="FFB7C4D4"/>
      </right>
      <top style="thin">
        <color rgb="FFB7C4D4"/>
      </top>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4" fillId="0" borderId="1" pivotButton="0" quotePrefix="0" xfId="0"/>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5" fillId="4" borderId="1" applyAlignment="1" pivotButton="0" quotePrefix="0" xfId="0">
      <alignment horizontal="center" vertical="center"/>
    </xf>
    <xf numFmtId="0" fontId="7" fillId="5" borderId="1" applyAlignment="1" pivotButton="0" quotePrefix="0" xfId="0">
      <alignment horizontal="center" vertical="center"/>
    </xf>
    <xf numFmtId="0" fontId="6" fillId="3" borderId="1" pivotButton="0" quotePrefix="0" xfId="0"/>
    <xf numFmtId="0" fontId="5" fillId="6" borderId="1" applyAlignment="1" pivotButton="0" quotePrefix="0" xfId="0">
      <alignment horizontal="center" vertical="center"/>
    </xf>
    <xf numFmtId="0" fontId="8" fillId="0" borderId="1" applyAlignment="1" pivotButton="0" quotePrefix="0" xfId="0">
      <alignment vertical="top" wrapText="1"/>
    </xf>
    <xf numFmtId="1" fontId="5" fillId="5" borderId="1" applyAlignment="1" pivotButton="0" quotePrefix="0" xfId="0">
      <alignment horizontal="center" vertical="center"/>
    </xf>
    <xf numFmtId="0" fontId="6"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left" vertical="center"/>
    </xf>
    <xf numFmtId="49" fontId="5" fillId="0" borderId="1" applyAlignment="1" pivotButton="0" quotePrefix="0" xfId="0">
      <alignment horizontal="left" vertical="center"/>
    </xf>
    <xf numFmtId="0" fontId="5" fillId="0" borderId="1" applyAlignment="1" pivotButton="0" quotePrefix="0" xfId="0">
      <alignment vertical="top" wrapText="1"/>
    </xf>
    <xf numFmtId="3" fontId="5" fillId="0" borderId="1" applyAlignment="1" pivotButton="0" quotePrefix="0" xfId="0">
      <alignment horizontal="left" vertical="center"/>
    </xf>
    <xf numFmtId="164" fontId="5" fillId="0" borderId="1" applyAlignment="1" pivotButton="0" quotePrefix="0" xfId="0">
      <alignment horizontal="left" vertical="center"/>
    </xf>
    <xf numFmtId="0" fontId="9" fillId="0" borderId="1" applyAlignment="1" pivotButton="0" quotePrefix="0" xfId="0">
      <alignment vertical="top" wrapText="1"/>
    </xf>
    <xf numFmtId="0" fontId="4" fillId="7" borderId="1" applyAlignment="1" pivotButton="0" quotePrefix="0" xfId="0">
      <alignment vertical="top" wrapText="1"/>
    </xf>
    <xf numFmtId="0" fontId="0" fillId="6" borderId="1" applyAlignment="1" pivotButton="0" quotePrefix="0" xfId="0">
      <alignment horizontal="left" vertical="center"/>
    </xf>
    <xf numFmtId="49" fontId="0" fillId="6" borderId="1" applyAlignment="1" pivotButton="0" quotePrefix="0" xfId="0">
      <alignment horizontal="left" vertical="center"/>
    </xf>
    <xf numFmtId="49" fontId="5" fillId="6" borderId="1" applyAlignment="1" pivotButton="0" quotePrefix="0" xfId="0">
      <alignment horizontal="left" vertical="center"/>
    </xf>
    <xf numFmtId="0" fontId="5" fillId="6" borderId="1" applyAlignment="1" pivotButton="0" quotePrefix="0" xfId="0">
      <alignment horizontal="left" vertical="center"/>
    </xf>
    <xf numFmtId="0" fontId="0" fillId="6"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left" vertical="center"/>
    </xf>
    <xf numFmtId="3" fontId="0" fillId="6" borderId="1" applyAlignment="1" pivotButton="0" quotePrefix="0" xfId="0">
      <alignment horizontal="left" vertical="center"/>
    </xf>
    <xf numFmtId="3" fontId="5" fillId="7" borderId="1" applyAlignment="1" pivotButton="0" quotePrefix="0" xfId="0">
      <alignment horizontal="left" vertical="center"/>
    </xf>
    <xf numFmtId="164" fontId="5" fillId="6" borderId="1" applyAlignment="1" pivotButton="0" quotePrefix="0" xfId="0">
      <alignment horizontal="left" vertical="center"/>
    </xf>
    <xf numFmtId="0" fontId="7" fillId="5" borderId="1" pivotButton="0" quotePrefix="0" xfId="0"/>
    <xf numFmtId="0" fontId="0" fillId="5" borderId="1" pivotButton="0" quotePrefix="0" xfId="0"/>
    <xf numFmtId="3" fontId="7" fillId="5" borderId="1" pivotButton="0" quotePrefix="0" xfId="0"/>
    <xf numFmtId="3" fontId="5" fillId="0" borderId="1" applyAlignment="1" pivotButton="0" quotePrefix="0" xfId="0">
      <alignment horizontal="center" vertical="center"/>
    </xf>
    <xf numFmtId="1" fontId="5" fillId="0" borderId="1" applyAlignment="1" pivotButton="0" quotePrefix="0" xfId="0">
      <alignment horizontal="center" vertical="center"/>
    </xf>
    <xf numFmtId="0" fontId="7" fillId="5" borderId="1" applyAlignment="1" pivotButton="0" quotePrefix="0" xfId="0">
      <alignment horizontal="left" vertical="center"/>
    </xf>
    <xf numFmtId="3" fontId="7" fillId="5" borderId="1" applyAlignment="1" pivotButton="0" quotePrefix="0" xfId="0">
      <alignment horizontal="center" vertical="center"/>
    </xf>
    <xf numFmtId="0" fontId="4" fillId="0" borderId="2" applyAlignment="1" pivotButton="0" quotePrefix="0" xfId="0">
      <alignment horizontal="left" vertical="center" wrapText="1"/>
    </xf>
    <xf numFmtId="49" fontId="10" fillId="6" borderId="2" applyAlignment="1" pivotButton="0" quotePrefix="0" xfId="0">
      <alignment horizontal="left" vertical="center"/>
    </xf>
    <xf numFmtId="0" fontId="10" fillId="6" borderId="2" applyAlignment="1" pivotButton="0" quotePrefix="0" xfId="0">
      <alignment horizontal="left" vertical="center" wrapText="1"/>
    </xf>
    <xf numFmtId="0" fontId="10" fillId="0" borderId="2" applyAlignment="1" pivotButton="0" quotePrefix="0" xfId="0">
      <alignment horizontal="left" vertical="center" wrapText="1"/>
    </xf>
    <xf numFmtId="0" fontId="8" fillId="0" borderId="0" applyAlignment="1" pivotButton="0" quotePrefix="0" xfId="0">
      <alignment vertical="top" wrapText="1"/>
    </xf>
    <xf numFmtId="0" fontId="3" fillId="2" borderId="0" applyAlignment="1" pivotButton="0" quotePrefix="0" xfId="0">
      <alignment horizontal="left" vertical="center"/>
    </xf>
    <xf numFmtId="3" fontId="11" fillId="5" borderId="1" applyAlignment="1" pivotButton="0" quotePrefix="0" xfId="0">
      <alignment horizontal="center" vertical="center"/>
    </xf>
    <xf numFmtId="0" fontId="12" fillId="0" borderId="1" applyAlignment="1" pivotButton="0" quotePrefix="0" xfId="0">
      <alignment horizontal="left" vertical="center"/>
    </xf>
    <xf numFmtId="0" fontId="10" fillId="6" borderId="2" applyAlignment="1" pivotButton="0" quotePrefix="0" xfId="0">
      <alignment vertical="center" wrapText="1"/>
    </xf>
    <xf numFmtId="4" fontId="5" fillId="0" borderId="1" applyAlignment="1" pivotButton="0" quotePrefix="0" xfId="0">
      <alignment horizontal="center" vertical="center"/>
    </xf>
    <xf numFmtId="0" fontId="3" fillId="2" borderId="0" applyAlignment="1" pivotButton="0" quotePrefix="0" xfId="0">
      <alignment horizontal="left" vertical="center"/>
    </xf>
    <xf numFmtId="0" fontId="0" fillId="0" borderId="0" pivotButton="0" quotePrefix="0" xfId="0"/>
    <xf numFmtId="0" fontId="8" fillId="0" borderId="0" applyAlignment="1" pivotButton="0" quotePrefix="0" xfId="0">
      <alignment vertical="top" wrapText="1"/>
    </xf>
    <xf numFmtId="0" fontId="2" fillId="0" borderId="0" pivotButton="0" quotePrefix="0" xfId="0"/>
    <xf numFmtId="0" fontId="1" fillId="0" borderId="0" pivotButton="0" quotePrefix="0" xfId="0"/>
    <xf numFmtId="0" fontId="4" fillId="5" borderId="2" applyAlignment="1" pivotButton="0" quotePrefix="0" xfId="0">
      <alignment horizontal="center" vertical="center"/>
    </xf>
    <xf numFmtId="0" fontId="0" fillId="0" borderId="3" pivotButton="0" quotePrefix="0" xfId="0"/>
    <xf numFmtId="0" fontId="7" fillId="5" borderId="2" applyAlignment="1" pivotButton="0" quotePrefix="0" xfId="0">
      <alignment horizontal="center" vertical="center"/>
    </xf>
    <xf numFmtId="0" fontId="6" fillId="3" borderId="2" applyAlignment="1" pivotButton="0" quotePrefix="0" xfId="0">
      <alignment horizontal="center" vertical="center"/>
    </xf>
    <xf numFmtId="0" fontId="13" fillId="8" borderId="2" applyAlignment="1" pivotButton="0" quotePrefix="0" xfId="0">
      <alignment horizontal="center" vertical="center"/>
    </xf>
  </cellXfs>
  <cellStyles count="1">
    <cellStyle name="Normal" xfId="0" builtinId="0"/>
  </cellStyles>
  <dxfs count="10">
    <dxf>
      <fill>
        <patternFill patternType="solid">
          <fgColor rgb="FFFFF2CC"/>
        </patternFill>
      </fill>
    </dxf>
    <dxf>
      <fill>
        <patternFill patternType="solid">
          <fgColor rgb="FFFCE4E4"/>
        </patternFill>
      </fill>
    </dxf>
    <dxf>
      <fill>
        <patternFill patternType="solid">
          <fgColor rgb="FFE2EFDA"/>
        </patternFill>
      </fill>
    </dxf>
    <dxf>
      <fill>
        <patternFill patternType="solid">
          <fgColor rgb="FFFFF2CC"/>
        </patternFill>
      </fill>
    </dxf>
    <dxf>
      <fill>
        <patternFill patternType="solid">
          <fgColor rgb="FFFCE4E4"/>
        </patternFill>
      </fill>
    </dxf>
    <dxf>
      <fill>
        <patternFill patternType="solid">
          <fgColor rgb="FFFFF2CC"/>
        </patternFill>
      </fill>
    </dxf>
    <dxf>
      <fill>
        <patternFill patternType="solid">
          <fgColor rgb="FFE2EFDA"/>
        </patternFill>
      </fill>
    </dxf>
    <dxf>
      <fill>
        <patternFill patternType="solid">
          <fgColor rgb="FFFCE4E4"/>
        </patternFill>
      </fill>
    </dxf>
    <dxf>
      <fill>
        <patternFill patternType="solid">
          <fgColor rgb="FFFFF2CC"/>
        </patternFill>
      </fill>
    </dxf>
    <dxf>
      <fill>
        <patternFill patternType="solid">
          <fgColor rgb="FF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Vendor%20PDFs/Baraat-DJ-Invoice-284-11Dec2026.pdf" TargetMode="External" Id="rId1" /></Relationships>
</file>

<file path=xl/worksheets/_rels/sheet4.xml.rels><Relationships xmlns="http://schemas.openxmlformats.org/package/2006/relationships"><Relationship Type="http://schemas.openxmlformats.org/officeDocument/2006/relationships/hyperlink" Target="Vendor%20PDFs/Baraat-DJ-Invoice-284-11Dec2026.pdf" TargetMode="External" Id="rId1" /></Relationships>
</file>

<file path=xl/worksheets/sheet1.xml><?xml version="1.0" encoding="utf-8"?>
<worksheet xmlns="http://schemas.openxmlformats.org/spreadsheetml/2006/main">
  <sheetPr>
    <outlinePr summaryBelow="1" summaryRight="1"/>
    <pageSetUpPr/>
  </sheetPr>
  <dimension ref="A1:AH64"/>
  <sheetViews>
    <sheetView workbookViewId="0">
      <selection activeCell="A1" sqref="A1"/>
    </sheetView>
  </sheetViews>
  <sheetFormatPr baseColWidth="8" defaultRowHeight="15"/>
  <cols>
    <col width="30" customWidth="1" style="49" min="1" max="1"/>
    <col width="11" customWidth="1" style="49" min="2" max="2"/>
  </cols>
  <sheetData>
    <row r="1">
      <c r="A1" s="52" t="inlineStr">
        <is>
          <t>NIRMAL — ROOM PLAN BY NIGHT</t>
        </is>
      </c>
    </row>
    <row r="2">
      <c r="A2" s="51" t="inlineStr">
        <is>
          <t>Check-in 08-Dec-2026  |  Check-out 14-Dec-2026  |  10 of 10 rooms booked</t>
        </is>
      </c>
    </row>
    <row r="3"/>
    <row r="4">
      <c r="A4" s="48" t="inlineStr">
        <is>
          <t>BOOKING</t>
        </is>
      </c>
    </row>
    <row r="5">
      <c r="A5" s="3" t="inlineStr">
        <is>
          <t>Check-in</t>
        </is>
      </c>
      <c r="B5" s="4" t="inlineStr">
        <is>
          <t>08-Dec-2026</t>
        </is>
      </c>
    </row>
    <row r="6">
      <c r="A6" s="3" t="inlineStr">
        <is>
          <t>Check-out</t>
        </is>
      </c>
      <c r="B6" s="4" t="inlineStr">
        <is>
          <t>14-Dec-2026</t>
        </is>
      </c>
    </row>
    <row r="7">
      <c r="A7" s="3" t="inlineStr">
        <is>
          <t>Rooms booked</t>
        </is>
      </c>
      <c r="B7" s="4" t="n">
        <v>10</v>
      </c>
    </row>
    <row r="8">
      <c r="A8" s="3" t="inlineStr">
        <is>
          <t>Total rooms</t>
        </is>
      </c>
      <c r="B8" s="4" t="n">
        <v>10</v>
      </c>
    </row>
    <row r="9">
      <c r="A9" s="3" t="inlineStr">
        <is>
          <t>Total room-nights</t>
        </is>
      </c>
      <c r="B9" s="4" t="n">
        <v>37</v>
      </c>
    </row>
    <row r="10"/>
    <row r="11">
      <c r="A11" s="48" t="inlineStr">
        <is>
          <t>ROOMS NEEDED PER NIGHT</t>
        </is>
      </c>
    </row>
    <row r="12">
      <c r="A12" s="5" t="inlineStr">
        <is>
          <t>Date</t>
        </is>
      </c>
      <c r="B12" s="5" t="inlineStr">
        <is>
          <t>Rooms</t>
        </is>
      </c>
    </row>
    <row r="13">
      <c r="A13" s="4" t="inlineStr">
        <is>
          <t>08-Dec</t>
        </is>
      </c>
      <c r="B13" s="4" t="n">
        <v>2</v>
      </c>
    </row>
    <row r="14">
      <c r="A14" s="4" t="inlineStr">
        <is>
          <t>09-Dec</t>
        </is>
      </c>
      <c r="B14" s="4" t="n">
        <v>3</v>
      </c>
    </row>
    <row r="15">
      <c r="A15" s="4" t="inlineStr">
        <is>
          <t>10-Dec</t>
        </is>
      </c>
      <c r="B15" s="4" t="n">
        <v>10</v>
      </c>
    </row>
    <row r="16">
      <c r="A16" s="4" t="inlineStr">
        <is>
          <t>11-Dec</t>
        </is>
      </c>
      <c r="B16" s="4" t="n">
        <v>10</v>
      </c>
    </row>
    <row r="17">
      <c r="A17" s="4" t="inlineStr">
        <is>
          <t>12-Dec</t>
        </is>
      </c>
      <c r="B17" s="4" t="n">
        <v>10</v>
      </c>
    </row>
    <row r="18">
      <c r="A18" s="4" t="inlineStr">
        <is>
          <t>13-Dec</t>
        </is>
      </c>
      <c r="B18" s="4" t="n">
        <v>2</v>
      </c>
    </row>
    <row r="19">
      <c r="A19" s="5" t="inlineStr">
        <is>
          <t>TOTAL</t>
        </is>
      </c>
      <c r="B19" s="5">
        <f>SUM(B13:B18)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s="5" t="inlineStr">
        <is>
          <t>13-Dec-2026</t>
        </is>
      </c>
      <c r="I22" t="inlineStr">
        <is>
          <t>Notes</t>
        </is>
      </c>
    </row>
    <row r="23">
      <c r="A23" s="53" t="inlineStr">
        <is>
          <t>Room 1 - Guest 1</t>
        </is>
      </c>
      <c r="C23" s="9" t="inlineStr">
        <is>
          <t>Hello</t>
        </is>
      </c>
      <c r="D23" s="9" t="n"/>
      <c r="E23" s="9" t="n"/>
      <c r="F23" s="9" t="n"/>
      <c r="G23" s="9" t="n"/>
      <c r="H23" s="9" t="n"/>
    </row>
    <row r="24">
      <c r="A24" s="53" t="inlineStr">
        <is>
          <t>Room 2 - Guest 1</t>
        </is>
      </c>
      <c r="C24" s="9" t="n"/>
      <c r="D24" s="9" t="n"/>
      <c r="E24" s="9" t="n"/>
      <c r="F24" s="9" t="n"/>
      <c r="G24" s="9" t="n"/>
      <c r="H24" s="9" t="n"/>
    </row>
    <row r="25">
      <c r="A25" s="53" t="inlineStr">
        <is>
          <t>Room 3 - Guest 1</t>
        </is>
      </c>
      <c r="C25" s="9" t="n"/>
      <c r="D25" s="9" t="n"/>
      <c r="E25" s="9" t="n"/>
      <c r="F25" s="9" t="n"/>
      <c r="G25" s="9" t="n"/>
      <c r="H25" s="9" t="n"/>
    </row>
    <row r="26">
      <c r="A26" s="53" t="inlineStr">
        <is>
          <t>Room 4 - Guest 1</t>
        </is>
      </c>
      <c r="C26" s="9" t="n"/>
      <c r="D26" s="9" t="n"/>
      <c r="E26" s="9" t="n"/>
      <c r="F26" s="9" t="n"/>
      <c r="G26" s="9" t="n"/>
      <c r="H26" s="9" t="n"/>
    </row>
    <row r="27">
      <c r="A27" s="53" t="inlineStr">
        <is>
          <t>Room 5 - Guest 1</t>
        </is>
      </c>
      <c r="C27" s="9" t="n"/>
      <c r="D27" s="9" t="n"/>
      <c r="E27" s="9" t="n"/>
      <c r="F27" s="9" t="n"/>
      <c r="G27" s="9" t="n"/>
      <c r="H27" s="9" t="n"/>
    </row>
    <row r="28">
      <c r="A28" s="53" t="inlineStr">
        <is>
          <t>Room 6 - Guest 1</t>
        </is>
      </c>
      <c r="C28" s="9" t="n"/>
      <c r="D28" s="9" t="n"/>
      <c r="E28" s="9" t="n"/>
      <c r="F28" s="9" t="n"/>
      <c r="G28" s="9" t="n"/>
      <c r="H28" s="9" t="n"/>
    </row>
    <row r="29">
      <c r="A29" s="53" t="inlineStr">
        <is>
          <t>Room 7 - Guest 1</t>
        </is>
      </c>
      <c r="C29" s="9" t="n"/>
      <c r="D29" s="9" t="n"/>
      <c r="E29" s="9" t="n"/>
      <c r="F29" s="9" t="n"/>
      <c r="G29" s="9" t="n"/>
      <c r="H29" s="9" t="n"/>
    </row>
    <row r="30">
      <c r="A30" s="53" t="inlineStr">
        <is>
          <t>Room 8 - Guest 1</t>
        </is>
      </c>
      <c r="C30" s="9" t="n"/>
      <c r="D30" s="9" t="n"/>
      <c r="E30" s="9" t="n"/>
      <c r="F30" s="9" t="n"/>
      <c r="G30" s="9" t="n"/>
      <c r="H30" s="9" t="n"/>
    </row>
    <row r="31">
      <c r="A31" s="53" t="inlineStr">
        <is>
          <t>Room 9 - Guest 1</t>
        </is>
      </c>
      <c r="C31" s="9" t="n"/>
      <c r="D31" s="9" t="n"/>
      <c r="E31" s="9" t="n"/>
      <c r="F31" s="9" t="n"/>
      <c r="G31" s="9" t="n"/>
      <c r="H31" s="9" t="n"/>
    </row>
    <row r="32">
      <c r="A32" s="53" t="inlineStr">
        <is>
          <t>Room 10 - Guest 1</t>
        </is>
      </c>
      <c r="C32" s="9" t="n"/>
      <c r="D32" s="9" t="n"/>
      <c r="E32" s="9" t="n"/>
      <c r="F32" s="9" t="n"/>
      <c r="G32" s="9" t="n"/>
      <c r="H32" s="9" t="n"/>
    </row>
    <row r="33">
      <c r="A33" s="48" t="inlineStr">
        <is>
          <t>SECOND GUEST PER ROOM  -  fill only if two people share the room. FILLED counts occupied ROOMS, not guest names.</t>
        </is>
      </c>
    </row>
    <row r="34">
      <c r="A34" s="53" t="inlineStr">
        <is>
          <t>Room 1 - Guest 2</t>
        </is>
      </c>
      <c r="C34" s="9" t="n"/>
      <c r="D34" s="9" t="n"/>
      <c r="E34" s="9" t="n"/>
      <c r="F34" s="9" t="n"/>
      <c r="G34" s="9" t="n"/>
      <c r="H34" s="9" t="n"/>
    </row>
    <row r="35">
      <c r="A35" s="53" t="inlineStr">
        <is>
          <t>Room 2 - Guest 2</t>
        </is>
      </c>
      <c r="C35" s="9" t="n"/>
      <c r="D35" s="9" t="n"/>
      <c r="E35" s="9" t="n"/>
      <c r="F35" s="9" t="n"/>
      <c r="G35" s="9" t="n"/>
      <c r="H35" s="9" t="n"/>
    </row>
    <row r="36">
      <c r="A36" s="53" t="inlineStr">
        <is>
          <t>Room 3 - Guest 2</t>
        </is>
      </c>
      <c r="C36" s="9" t="n"/>
      <c r="D36" s="9" t="n"/>
      <c r="E36" s="9" t="n"/>
      <c r="F36" s="9" t="n"/>
      <c r="G36" s="9" t="n"/>
      <c r="H36" s="9" t="n"/>
    </row>
    <row r="37">
      <c r="A37" s="53" t="inlineStr">
        <is>
          <t>Room 4 - Guest 2</t>
        </is>
      </c>
      <c r="C37" s="9" t="n"/>
      <c r="D37" s="9" t="n"/>
      <c r="E37" s="9" t="n"/>
      <c r="F37" s="9" t="n"/>
      <c r="G37" s="9" t="n"/>
      <c r="H37" s="9" t="n"/>
    </row>
    <row r="38">
      <c r="A38" s="53" t="inlineStr">
        <is>
          <t>Room 5 - Guest 2</t>
        </is>
      </c>
      <c r="C38" s="9" t="n"/>
      <c r="D38" s="9" t="n"/>
      <c r="E38" s="9" t="n"/>
      <c r="F38" s="9" t="n"/>
      <c r="G38" s="9" t="n"/>
      <c r="H38" s="9" t="n"/>
    </row>
    <row r="39">
      <c r="A39" s="53" t="inlineStr">
        <is>
          <t>Room 6 - Guest 2</t>
        </is>
      </c>
      <c r="C39" s="9" t="n"/>
      <c r="D39" s="9" t="n"/>
      <c r="E39" s="9" t="n"/>
      <c r="F39" s="9" t="n"/>
      <c r="G39" s="9" t="n"/>
      <c r="H39" s="9" t="n"/>
    </row>
    <row r="40">
      <c r="A40" s="53" t="inlineStr">
        <is>
          <t>Room 7 - Guest 2</t>
        </is>
      </c>
      <c r="C40" s="9" t="n"/>
      <c r="D40" s="9" t="n"/>
      <c r="E40" s="9" t="n"/>
      <c r="F40" s="9" t="n"/>
      <c r="G40" s="9" t="n"/>
      <c r="H40" s="9" t="n"/>
    </row>
    <row r="41">
      <c r="A41" s="53" t="inlineStr">
        <is>
          <t>Room 8 - Guest 2</t>
        </is>
      </c>
      <c r="C41" s="9" t="n"/>
      <c r="D41" s="9" t="n"/>
      <c r="E41" s="9" t="n"/>
      <c r="F41" s="9" t="n"/>
      <c r="G41" s="9" t="n"/>
      <c r="H41" s="9" t="n"/>
    </row>
    <row r="42">
      <c r="A42" s="53" t="inlineStr">
        <is>
          <t>Room 9 - Guest 2</t>
        </is>
      </c>
      <c r="C42" s="9" t="n"/>
      <c r="D42" s="9" t="n"/>
      <c r="E42" s="9" t="n"/>
      <c r="F42" s="9" t="n"/>
      <c r="G42" s="9" t="n"/>
      <c r="H42" s="9" t="n"/>
    </row>
    <row r="43">
      <c r="A43" s="53" t="inlineStr">
        <is>
          <t>Room 10 - Guest 2</t>
        </is>
      </c>
      <c r="C43" s="9" t="n"/>
      <c r="D43" s="9" t="n"/>
      <c r="E43" s="9" t="n"/>
      <c r="F43" s="9" t="n"/>
      <c r="G43" s="9" t="n"/>
      <c r="H43" s="9" t="n"/>
    </row>
    <row r="44">
      <c r="A44" s="48" t="inlineStr">
        <is>
          <t>THIRD GUEST PER ROOM  -  fill only if a THIRD person shares the room. These are the extra guests the hotel bills on top of the room rate.</t>
        </is>
      </c>
    </row>
    <row r="45">
      <c r="A45" s="53" t="inlineStr">
        <is>
          <t>Room 1 - Guest 3</t>
        </is>
      </c>
      <c r="C45" s="9" t="n"/>
      <c r="D45" s="9" t="n"/>
      <c r="E45" s="9" t="n"/>
      <c r="F45" s="9" t="n"/>
      <c r="G45" s="9" t="n"/>
      <c r="H45" s="9" t="n"/>
    </row>
    <row r="46">
      <c r="A46" s="53" t="inlineStr">
        <is>
          <t>Room 2 - Guest 3</t>
        </is>
      </c>
      <c r="C46" s="9" t="n"/>
      <c r="D46" s="9" t="n"/>
      <c r="E46" s="9" t="n"/>
      <c r="F46" s="9" t="n"/>
      <c r="G46" s="9" t="n"/>
      <c r="H46" s="9" t="n"/>
    </row>
    <row r="47">
      <c r="A47" s="53" t="inlineStr">
        <is>
          <t>Room 3 - Guest 3</t>
        </is>
      </c>
      <c r="C47" s="9" t="n"/>
      <c r="D47" s="9" t="n"/>
      <c r="E47" s="9" t="n"/>
      <c r="F47" s="9" t="n"/>
      <c r="G47" s="9" t="n"/>
      <c r="H47" s="9" t="n"/>
    </row>
    <row r="48">
      <c r="A48" s="53" t="inlineStr">
        <is>
          <t>Room 4 - Guest 3</t>
        </is>
      </c>
      <c r="C48" s="9" t="n"/>
      <c r="D48" s="9" t="n"/>
      <c r="E48" s="9" t="n"/>
      <c r="F48" s="9" t="n"/>
      <c r="G48" s="9" t="n"/>
      <c r="H48" s="9" t="n"/>
    </row>
    <row r="49">
      <c r="A49" s="53" t="inlineStr">
        <is>
          <t>Room 5 - Guest 3</t>
        </is>
      </c>
      <c r="C49" s="9" t="n"/>
      <c r="D49" s="9" t="n"/>
      <c r="E49" s="9" t="n"/>
      <c r="F49" s="9" t="n"/>
      <c r="G49" s="9" t="n"/>
      <c r="H49" s="9" t="n"/>
    </row>
    <row r="50">
      <c r="A50" s="53" t="inlineStr">
        <is>
          <t>Room 6 - Guest 3</t>
        </is>
      </c>
      <c r="C50" s="9" t="n"/>
      <c r="D50" s="9" t="n"/>
      <c r="E50" s="9" t="n"/>
      <c r="F50" s="9" t="n"/>
      <c r="G50" s="9" t="n"/>
      <c r="H50" s="9" t="n"/>
    </row>
    <row r="51">
      <c r="A51" s="53" t="inlineStr">
        <is>
          <t>Room 7 - Guest 3</t>
        </is>
      </c>
      <c r="C51" s="9" t="n"/>
      <c r="D51" s="9" t="n"/>
      <c r="E51" s="9" t="n"/>
      <c r="F51" s="9" t="n"/>
      <c r="G51" s="9" t="n"/>
      <c r="H51" s="9" t="n"/>
    </row>
    <row r="52">
      <c r="A52" s="53" t="inlineStr">
        <is>
          <t>Room 8 - Guest 3</t>
        </is>
      </c>
      <c r="C52" s="9" t="n"/>
      <c r="D52" s="9" t="n"/>
      <c r="E52" s="9" t="n"/>
      <c r="F52" s="9" t="n"/>
      <c r="G52" s="9" t="n"/>
      <c r="H52" s="9" t="n"/>
    </row>
    <row r="53">
      <c r="A53" s="53" t="inlineStr">
        <is>
          <t>Room 9 - Guest 3</t>
        </is>
      </c>
      <c r="C53" s="9" t="n"/>
      <c r="D53" s="9" t="n"/>
      <c r="E53" s="9" t="n"/>
      <c r="F53" s="9" t="n"/>
      <c r="G53" s="9" t="n"/>
      <c r="H53" s="9" t="n"/>
    </row>
    <row r="54">
      <c r="A54" s="53" t="inlineStr">
        <is>
          <t>Room 10 - Guest 3</t>
        </is>
      </c>
      <c r="C54" s="9" t="n"/>
      <c r="D54" s="9" t="n"/>
      <c r="E54" s="9" t="n"/>
      <c r="F54" s="9" t="n"/>
      <c r="G54" s="9" t="n"/>
      <c r="H54" s="9" t="n"/>
    </row>
    <row r="55">
      <c r="A55" s="55" t="inlineStr">
        <is>
          <t>FILLED</t>
        </is>
      </c>
      <c r="C55" s="11">
        <f>SUMPRODUCT(--(((C23:C32&lt;&gt;"")+(C34:C43&lt;&gt;"")+(C45:C54&lt;&gt;""))&gt;0))</f>
        <v/>
      </c>
      <c r="D55" s="11">
        <f>SUMPRODUCT(--(((D23:D32&lt;&gt;"")+(D34:D43&lt;&gt;"")+(D45:D54&lt;&gt;""))&gt;0))</f>
        <v/>
      </c>
      <c r="E55" s="11">
        <f>SUMPRODUCT(--(((E23:E32&lt;&gt;"")+(E34:E43&lt;&gt;"")+(E45:E54&lt;&gt;""))&gt;0))</f>
        <v/>
      </c>
      <c r="F55" s="11">
        <f>SUMPRODUCT(--(((F23:F32&lt;&gt;"")+(F34:F43&lt;&gt;"")+(F45:F54&lt;&gt;""))&gt;0))</f>
        <v/>
      </c>
      <c r="G55" s="11">
        <f>SUMPRODUCT(--(((G23:G32&lt;&gt;"")+(G34:G43&lt;&gt;"")+(G45:G54&lt;&gt;""))&gt;0))</f>
        <v/>
      </c>
      <c r="H55" s="11">
        <f>SUMPRODUCT(--(((H23:H32&lt;&gt;"")+(H34:H43&lt;&gt;"")+(H45:H54&lt;&gt;""))&gt;0))</f>
        <v/>
      </c>
    </row>
    <row r="56">
      <c r="A56" s="55" t="inlineStr">
        <is>
          <t>NEEDED</t>
        </is>
      </c>
      <c r="C56" s="11" t="n">
        <v>2</v>
      </c>
      <c r="D56" s="11" t="n">
        <v>3</v>
      </c>
      <c r="E56" s="11" t="n">
        <v>10</v>
      </c>
      <c r="F56" s="11" t="n">
        <v>10</v>
      </c>
      <c r="G56" s="11" t="n">
        <v>10</v>
      </c>
      <c r="H56" s="11" t="n">
        <v>2</v>
      </c>
    </row>
    <row r="57">
      <c r="A57" s="55" t="inlineStr">
        <is>
          <t>STATUS</t>
        </is>
      </c>
      <c r="C57">
        <f>IF(C55=C56,"OK",IF(C55&lt;C56,"need "&amp;(C56-C55)&amp;" more","extra "&amp;(C55-C56)))</f>
        <v/>
      </c>
      <c r="D57">
        <f>IF(D55=D56,"OK",IF(D55&lt;D56,"need "&amp;(D56-D55)&amp;" more","extra "&amp;(D55-D56)))</f>
        <v/>
      </c>
      <c r="E57">
        <f>IF(E55=E56,"OK",IF(E55&lt;E56,"need "&amp;(E56-E55)&amp;" more","extra "&amp;(E55-E56)))</f>
        <v/>
      </c>
      <c r="F57">
        <f>IF(F55=F56,"OK",IF(F55&lt;F56,"need "&amp;(F56-F55)&amp;" more","extra "&amp;(F55-F56)))</f>
        <v/>
      </c>
      <c r="G57">
        <f>IF(G55=G56,"OK",IF(G55&lt;G56,"need "&amp;(G56-G55)&amp;" more","extra "&amp;(G55-G56)))</f>
        <v/>
      </c>
      <c r="H57">
        <f>IF(H55=H56,"OK",IF(H55&lt;H56,"need "&amp;(H56-H55)&amp;" more","extra "&amp;(H55-H56)))</f>
        <v/>
      </c>
    </row>
    <row r="58">
      <c r="A58" s="55" t="inlineStr">
        <is>
          <t>GUESTS</t>
        </is>
      </c>
      <c r="C58" s="11">
        <f>SUMPRODUCT(--(C23:C32&lt;&gt;""))+SUMPRODUCT(--(C34:C43&lt;&gt;""))+SUMPRODUCT(--(C45:C54&lt;&gt;""))</f>
        <v/>
      </c>
      <c r="D58" s="11">
        <f>SUMPRODUCT(--(D23:D32&lt;&gt;""))+SUMPRODUCT(--(D34:D43&lt;&gt;""))+SUMPRODUCT(--(D45:D54&lt;&gt;""))</f>
        <v/>
      </c>
      <c r="E58" s="11">
        <f>SUMPRODUCT(--(E23:E32&lt;&gt;""))+SUMPRODUCT(--(E34:E43&lt;&gt;""))+SUMPRODUCT(--(E45:E54&lt;&gt;""))</f>
        <v/>
      </c>
      <c r="F58" s="11">
        <f>SUMPRODUCT(--(F23:F32&lt;&gt;""))+SUMPRODUCT(--(F34:F43&lt;&gt;""))+SUMPRODUCT(--(F45:F54&lt;&gt;""))</f>
        <v/>
      </c>
      <c r="G58" s="11">
        <f>SUMPRODUCT(--(G23:G32&lt;&gt;""))+SUMPRODUCT(--(G34:G43&lt;&gt;""))+SUMPRODUCT(--(G45:G54&lt;&gt;""))</f>
        <v/>
      </c>
      <c r="H58" s="11">
        <f>SUMPRODUCT(--(H23:H32&lt;&gt;""))+SUMPRODUCT(--(H34:H43&lt;&gt;""))+SUMPRODUCT(--(H45:H54&lt;&gt;""))</f>
        <v/>
      </c>
    </row>
    <row r="59">
      <c r="A59" s="55" t="inlineStr">
        <is>
          <t>3rd GUESTS</t>
        </is>
      </c>
      <c r="C59" s="11">
        <f>SUMPRODUCT(--(C45:C54&lt;&gt;""))</f>
        <v/>
      </c>
      <c r="D59" s="11">
        <f>SUMPRODUCT(--(D45:D54&lt;&gt;""))</f>
        <v/>
      </c>
      <c r="E59" s="11">
        <f>SUMPRODUCT(--(E45:E54&lt;&gt;""))</f>
        <v/>
      </c>
      <c r="F59" s="11">
        <f>SUMPRODUCT(--(F45:F54&lt;&gt;""))</f>
        <v/>
      </c>
      <c r="G59" s="11">
        <f>SUMPRODUCT(--(G45:G54&lt;&gt;""))</f>
        <v/>
      </c>
      <c r="H59" s="11">
        <f>SUMPRODUCT(--(H45:H54&lt;&gt;""))</f>
        <v/>
      </c>
    </row>
    <row r="61">
      <c r="A61"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62">
      <c r="A62" s="50" t="inlineStr">
        <is>
          <t>Give this grid to the front desk on arrival. Hand out room keys against the names you typed.</t>
        </is>
      </c>
    </row>
    <row r="63">
      <c r="A63" s="50" t="inlineStr">
        <is>
          <t>Two guests in one room?  Put the first name in the 'Guest 1' row and the second in the 'Guest 2' row for that same night. Both rows belong to the same room, so it still counts as one room against NEEDED.</t>
        </is>
      </c>
    </row>
    <row r="64">
      <c r="A64" s="50" t="inlineStr">
        <is>
          <t>Check-out is 14-Dec-2026. 13-Dec is the last night and only 2 rooms are needed, so release the other 8 rooms after checkout on 13-Dec.</t>
        </is>
      </c>
    </row>
  </sheetData>
  <mergeCells count="9">
    <mergeCell ref="A21:AH21"/>
    <mergeCell ref="A63:AH63"/>
    <mergeCell ref="A64:AH64"/>
    <mergeCell ref="A33:AH33"/>
    <mergeCell ref="A11:AH11"/>
    <mergeCell ref="A44:AH44"/>
    <mergeCell ref="A61:AH61"/>
    <mergeCell ref="A4:AH4"/>
    <mergeCell ref="A62:AH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56"/>
  <sheetViews>
    <sheetView workbookViewId="0">
      <selection activeCell="A1" sqref="A1"/>
    </sheetView>
  </sheetViews>
  <sheetFormatPr baseColWidth="8" defaultRowHeight="15"/>
  <cols>
    <col width="30" customWidth="1" style="49" min="1" max="1"/>
    <col width="11" customWidth="1" style="49" min="2" max="2"/>
  </cols>
  <sheetData>
    <row r="1">
      <c r="A1" s="52" t="inlineStr">
        <is>
          <t>AMARAI — ROOM PLAN BY NIGHT</t>
        </is>
      </c>
    </row>
    <row r="2">
      <c r="A2" s="51" t="inlineStr">
        <is>
          <t>Check-in 08-Dec-2026  |  Check-out 12-Dec-2026  |  7 of 7 rooms booked</t>
        </is>
      </c>
    </row>
    <row r="3"/>
    <row r="4">
      <c r="A4" s="48" t="inlineStr">
        <is>
          <t>BOOKING</t>
        </is>
      </c>
    </row>
    <row r="5">
      <c r="A5" s="3" t="inlineStr">
        <is>
          <t>Check-in</t>
        </is>
      </c>
      <c r="B5" s="4" t="inlineStr">
        <is>
          <t>08-Dec-2026</t>
        </is>
      </c>
    </row>
    <row r="6">
      <c r="A6" s="3" t="inlineStr">
        <is>
          <t>Check-out</t>
        </is>
      </c>
      <c r="B6" s="4" t="inlineStr">
        <is>
          <t>12-Dec-2026</t>
        </is>
      </c>
    </row>
    <row r="7">
      <c r="A7" s="3" t="inlineStr">
        <is>
          <t>Checkout time</t>
        </is>
      </c>
      <c r="B7" s="4" t="inlineStr">
        <is>
          <t>12:30 PM</t>
        </is>
      </c>
    </row>
    <row r="8">
      <c r="A8" s="3" t="inlineStr">
        <is>
          <t>Rooms booked</t>
        </is>
      </c>
      <c r="B8" s="4" t="n">
        <v>7</v>
      </c>
    </row>
    <row r="9">
      <c r="A9" s="3" t="inlineStr">
        <is>
          <t>Total rooms</t>
        </is>
      </c>
      <c r="B9" s="4" t="n">
        <v>7</v>
      </c>
    </row>
    <row r="10">
      <c r="A10" s="3" t="inlineStr">
        <is>
          <t>Total room-nights</t>
        </is>
      </c>
      <c r="B10" s="4" t="n">
        <v>23</v>
      </c>
    </row>
    <row r="11"/>
    <row r="12">
      <c r="A12" s="48" t="inlineStr">
        <is>
          <t>ROOMS NEEDED PER NIGHT</t>
        </is>
      </c>
    </row>
    <row r="13">
      <c r="A13" s="5" t="inlineStr">
        <is>
          <t>Date</t>
        </is>
      </c>
      <c r="B13" s="5" t="inlineStr">
        <is>
          <t>Rooms</t>
        </is>
      </c>
    </row>
    <row r="14">
      <c r="A14" t="inlineStr">
        <is>
          <t>08-Dec</t>
        </is>
      </c>
      <c r="B14" t="n">
        <v>2</v>
      </c>
    </row>
    <row r="15">
      <c r="A15" t="inlineStr">
        <is>
          <t>09-Dec</t>
        </is>
      </c>
      <c r="B15" t="n">
        <v>7</v>
      </c>
    </row>
    <row r="16">
      <c r="A16" t="inlineStr">
        <is>
          <t>10-Dec</t>
        </is>
      </c>
      <c r="B16" t="n">
        <v>7</v>
      </c>
    </row>
    <row r="17">
      <c r="A17" t="inlineStr">
        <is>
          <t>11-Dec</t>
        </is>
      </c>
      <c r="B17" t="n">
        <v>7</v>
      </c>
    </row>
    <row r="18">
      <c r="A18" t="inlineStr">
        <is>
          <t>12-Dec</t>
        </is>
      </c>
      <c r="B18" t="n">
        <v>0</v>
      </c>
    </row>
    <row r="19">
      <c r="A19" s="5" t="inlineStr">
        <is>
          <t>TOTAL</t>
        </is>
      </c>
      <c r="B19" s="5">
        <f>SUM(B14:B18)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t="inlineStr">
        <is>
          <t>Notes</t>
        </is>
      </c>
    </row>
    <row r="23">
      <c r="A23" s="53" t="inlineStr">
        <is>
          <t>Room 1 - Guest 1</t>
        </is>
      </c>
      <c r="C23" s="9" t="n"/>
      <c r="D23" s="9" t="n"/>
      <c r="E23" s="9" t="n"/>
      <c r="F23" s="9" t="n"/>
      <c r="G23" s="9" t="n"/>
    </row>
    <row r="24">
      <c r="A24" s="53" t="inlineStr">
        <is>
          <t>Room 2 - Guest 1</t>
        </is>
      </c>
      <c r="C24" s="9" t="n"/>
      <c r="D24" s="9" t="n"/>
      <c r="E24" s="9" t="n"/>
      <c r="F24" s="9" t="n"/>
      <c r="G24" s="9" t="n"/>
    </row>
    <row r="25">
      <c r="A25" s="53" t="inlineStr">
        <is>
          <t>Room 3 - Guest 1</t>
        </is>
      </c>
      <c r="C25" s="9" t="n"/>
      <c r="D25" s="9" t="n"/>
      <c r="E25" s="9" t="n"/>
      <c r="F25" s="9" t="n"/>
      <c r="G25" s="9" t="n"/>
    </row>
    <row r="26">
      <c r="A26" s="53" t="inlineStr">
        <is>
          <t>Room 4 - Guest 1</t>
        </is>
      </c>
      <c r="C26" s="9" t="n"/>
      <c r="D26" s="9" t="n"/>
      <c r="E26" s="9" t="n"/>
      <c r="F26" s="9" t="n"/>
      <c r="G26" s="9" t="n"/>
    </row>
    <row r="27">
      <c r="A27" s="53" t="inlineStr">
        <is>
          <t>Room 5 - Guest 1</t>
        </is>
      </c>
      <c r="C27" s="9" t="n"/>
      <c r="D27" s="9" t="n"/>
      <c r="E27" s="9" t="n"/>
      <c r="F27" s="9" t="n"/>
      <c r="G27" s="9" t="n"/>
    </row>
    <row r="28">
      <c r="A28" s="53" t="inlineStr">
        <is>
          <t>Room 6 - Guest 1</t>
        </is>
      </c>
      <c r="C28" s="9" t="n"/>
      <c r="D28" s="9" t="n"/>
      <c r="E28" s="9" t="n"/>
      <c r="F28" s="9" t="n"/>
      <c r="G28" s="9" t="n"/>
    </row>
    <row r="29">
      <c r="A29" s="53" t="inlineStr">
        <is>
          <t>Room 7 - Guest 1</t>
        </is>
      </c>
      <c r="C29" s="9" t="n"/>
      <c r="D29" s="9" t="n"/>
      <c r="E29" s="9" t="n"/>
      <c r="F29" s="9" t="n"/>
      <c r="G29" s="9" t="n"/>
    </row>
    <row r="30">
      <c r="A30" s="48" t="inlineStr">
        <is>
          <t>SECOND GUEST PER ROOM  -  fill only if two people share the room. FILLED counts occupied ROOMS, not guest names.</t>
        </is>
      </c>
    </row>
    <row r="31">
      <c r="A31" s="53" t="inlineStr">
        <is>
          <t>Room 1 - Guest 2</t>
        </is>
      </c>
      <c r="C31" s="9" t="n"/>
      <c r="D31" s="9" t="n"/>
      <c r="E31" s="9" t="n"/>
      <c r="F31" s="9" t="n"/>
      <c r="G31" s="9" t="n"/>
    </row>
    <row r="32">
      <c r="A32" s="53" t="inlineStr">
        <is>
          <t>Room 2 - Guest 2</t>
        </is>
      </c>
      <c r="C32" s="9" t="n"/>
      <c r="D32" s="9" t="n"/>
      <c r="E32" s="9" t="n"/>
      <c r="F32" s="9" t="n"/>
      <c r="G32" s="9" t="n"/>
    </row>
    <row r="33">
      <c r="A33" s="53" t="inlineStr">
        <is>
          <t>Room 3 - Guest 2</t>
        </is>
      </c>
      <c r="C33" s="9" t="n"/>
      <c r="D33" s="9" t="n"/>
      <c r="E33" s="9" t="n"/>
      <c r="F33" s="9" t="n"/>
      <c r="G33" s="9" t="n"/>
    </row>
    <row r="34">
      <c r="A34" s="53" t="inlineStr">
        <is>
          <t>Room 4 - Guest 2</t>
        </is>
      </c>
      <c r="C34" s="9" t="n"/>
      <c r="D34" s="9" t="n"/>
      <c r="E34" s="9" t="n"/>
      <c r="F34" s="9" t="n"/>
      <c r="G34" s="9" t="n"/>
    </row>
    <row r="35">
      <c r="A35" s="53" t="inlineStr">
        <is>
          <t>Room 5 - Guest 2</t>
        </is>
      </c>
      <c r="C35" s="9" t="n"/>
      <c r="D35" s="9" t="n"/>
      <c r="E35" s="9" t="n"/>
      <c r="F35" s="9" t="n"/>
      <c r="G35" s="9" t="n"/>
    </row>
    <row r="36">
      <c r="A36" s="53" t="inlineStr">
        <is>
          <t>Room 6 - Guest 2</t>
        </is>
      </c>
      <c r="C36" s="9" t="n"/>
      <c r="D36" s="9" t="n"/>
      <c r="E36" s="9" t="n"/>
      <c r="F36" s="9" t="n"/>
      <c r="G36" s="9" t="n"/>
    </row>
    <row r="37">
      <c r="A37" s="53" t="inlineStr">
        <is>
          <t>Room 7 - Guest 2</t>
        </is>
      </c>
      <c r="C37" s="9" t="n"/>
      <c r="D37" s="9" t="n"/>
      <c r="E37" s="9" t="n"/>
      <c r="F37" s="9" t="n"/>
      <c r="G37" s="9" t="n"/>
    </row>
    <row r="38">
      <c r="A38" s="48" t="inlineStr">
        <is>
          <t>THIRD GUEST PER ROOM  -  fill only if a THIRD person shares the room. These are the extra guests the hotel bills on top of the room rate.</t>
        </is>
      </c>
    </row>
    <row r="39">
      <c r="A39" s="53" t="inlineStr">
        <is>
          <t>Room 1 - Guest 3</t>
        </is>
      </c>
      <c r="C39" s="9" t="n"/>
      <c r="D39" s="9" t="n"/>
      <c r="E39" s="9" t="n"/>
      <c r="F39" s="9" t="n"/>
      <c r="G39" s="9" t="n"/>
    </row>
    <row r="40">
      <c r="A40" s="53" t="inlineStr">
        <is>
          <t>Room 2 - Guest 3</t>
        </is>
      </c>
      <c r="C40" s="9" t="n"/>
      <c r="D40" s="9" t="n"/>
      <c r="E40" s="9" t="n"/>
      <c r="F40" s="9" t="n"/>
      <c r="G40" s="9" t="n"/>
    </row>
    <row r="41">
      <c r="A41" s="53" t="inlineStr">
        <is>
          <t>Room 3 - Guest 3</t>
        </is>
      </c>
      <c r="C41" s="9" t="n"/>
      <c r="D41" s="9" t="n"/>
      <c r="E41" s="9" t="n"/>
      <c r="F41" s="9" t="n"/>
      <c r="G41" s="9" t="n"/>
    </row>
    <row r="42">
      <c r="A42" s="53" t="inlineStr">
        <is>
          <t>Room 4 - Guest 3</t>
        </is>
      </c>
      <c r="C42" s="9" t="n"/>
      <c r="D42" s="9" t="n"/>
      <c r="E42" s="9" t="n"/>
      <c r="F42" s="9" t="n"/>
      <c r="G42" s="9" t="n"/>
    </row>
    <row r="43">
      <c r="A43" s="53" t="inlineStr">
        <is>
          <t>Room 5 - Guest 3</t>
        </is>
      </c>
      <c r="C43" s="9" t="n"/>
      <c r="D43" s="9" t="n"/>
      <c r="E43" s="9" t="n"/>
      <c r="F43" s="9" t="n"/>
      <c r="G43" s="9" t="n"/>
    </row>
    <row r="44">
      <c r="A44" s="53" t="inlineStr">
        <is>
          <t>Room 6 - Guest 3</t>
        </is>
      </c>
      <c r="C44" s="9" t="n"/>
      <c r="D44" s="9" t="n"/>
      <c r="E44" s="9" t="n"/>
      <c r="F44" s="9" t="n"/>
      <c r="G44" s="9" t="n"/>
    </row>
    <row r="45">
      <c r="A45" s="53" t="inlineStr">
        <is>
          <t>Room 7 - Guest 3</t>
        </is>
      </c>
      <c r="C45" s="9" t="n"/>
      <c r="D45" s="9" t="n"/>
      <c r="E45" s="9" t="n"/>
      <c r="F45" s="9" t="n"/>
      <c r="G45" s="9" t="n"/>
    </row>
    <row r="46">
      <c r="A46" s="55" t="inlineStr">
        <is>
          <t>FILLED</t>
        </is>
      </c>
      <c r="C46" s="9">
        <f>SUMPRODUCT(--(((C23:C29&lt;&gt;"")+(C31:C37&lt;&gt;"")+(C39:C45&lt;&gt;""))&gt;0))</f>
        <v/>
      </c>
      <c r="D46" s="9">
        <f>SUMPRODUCT(--(((D23:D29&lt;&gt;"")+(D31:D37&lt;&gt;"")+(D39:D45&lt;&gt;""))&gt;0))</f>
        <v/>
      </c>
      <c r="E46" s="9">
        <f>SUMPRODUCT(--(((E23:E29&lt;&gt;"")+(E31:E37&lt;&gt;"")+(E39:E45&lt;&gt;""))&gt;0))</f>
        <v/>
      </c>
      <c r="F46" s="9">
        <f>SUMPRODUCT(--(((F23:F29&lt;&gt;"")+(F31:F37&lt;&gt;"")+(F39:F45&lt;&gt;""))&gt;0))</f>
        <v/>
      </c>
      <c r="G46" s="9">
        <f>SUMPRODUCT(--(((G23:G29&lt;&gt;"")+(G31:G37&lt;&gt;"")+(G39:G45&lt;&gt;""))&gt;0))</f>
        <v/>
      </c>
    </row>
    <row r="47">
      <c r="A47" s="55" t="inlineStr">
        <is>
          <t>NEEDED</t>
        </is>
      </c>
      <c r="C47" s="9" t="n">
        <v>2</v>
      </c>
      <c r="D47" s="9" t="n">
        <v>7</v>
      </c>
      <c r="E47" s="9" t="n">
        <v>7</v>
      </c>
      <c r="F47" s="9" t="n">
        <v>7</v>
      </c>
      <c r="G47" s="9" t="n">
        <v>0</v>
      </c>
    </row>
    <row r="48">
      <c r="A48" s="55" t="inlineStr">
        <is>
          <t>STATUS</t>
        </is>
      </c>
      <c r="C48">
        <f>IF(C46=C47,"OK",IF(C46&lt;C47,"need "&amp;(C47-C46)&amp;" more","extra "&amp;(C46-C47)))</f>
        <v/>
      </c>
      <c r="D48">
        <f>IF(D46=D47,"OK",IF(D46&lt;D47,"need "&amp;(D47-D46)&amp;" more","extra "&amp;(D46-D47)))</f>
        <v/>
      </c>
      <c r="E48">
        <f>IF(E46=E47,"OK",IF(E46&lt;E47,"need "&amp;(E47-E46)&amp;" more","extra "&amp;(E46-E47)))</f>
        <v/>
      </c>
      <c r="F48">
        <f>IF(F46=F47,"OK",IF(F46&lt;F47,"need "&amp;(F47-F46)&amp;" more","extra "&amp;(F46-F47)))</f>
        <v/>
      </c>
      <c r="G48">
        <f>IF(G46=G47,"OK",IF(G46&lt;G47,"need "&amp;(G47-G46)&amp;" more","extra "&amp;(G46-G47)))</f>
        <v/>
      </c>
    </row>
    <row r="49">
      <c r="A49" s="55" t="inlineStr">
        <is>
          <t>GUESTS</t>
        </is>
      </c>
      <c r="C49" s="9">
        <f>SUMPRODUCT(--(C23:C29&lt;&gt;""))+SUMPRODUCT(--(C31:C37&lt;&gt;""))+SUMPRODUCT(--(C39:C45&lt;&gt;""))</f>
        <v/>
      </c>
      <c r="D49" s="9">
        <f>SUMPRODUCT(--(D23:D29&lt;&gt;""))+SUMPRODUCT(--(D31:D37&lt;&gt;""))+SUMPRODUCT(--(D39:D45&lt;&gt;""))</f>
        <v/>
      </c>
      <c r="E49" s="9">
        <f>SUMPRODUCT(--(E23:E29&lt;&gt;""))+SUMPRODUCT(--(E31:E37&lt;&gt;""))+SUMPRODUCT(--(E39:E45&lt;&gt;""))</f>
        <v/>
      </c>
      <c r="F49" s="9">
        <f>SUMPRODUCT(--(F23:F29&lt;&gt;""))+SUMPRODUCT(--(F31:F37&lt;&gt;""))+SUMPRODUCT(--(F39:F45&lt;&gt;""))</f>
        <v/>
      </c>
      <c r="G49" s="9">
        <f>SUMPRODUCT(--(G23:G29&lt;&gt;""))+SUMPRODUCT(--(G31:G37&lt;&gt;""))+SUMPRODUCT(--(G39:G45&lt;&gt;""))</f>
        <v/>
      </c>
    </row>
    <row r="50">
      <c r="A50" s="55" t="inlineStr">
        <is>
          <t>3rd GUESTS</t>
        </is>
      </c>
      <c r="C50" s="9">
        <f>SUMPRODUCT(--(C39:C45&lt;&gt;""))</f>
        <v/>
      </c>
      <c r="D50" s="9">
        <f>SUMPRODUCT(--(D39:D45&lt;&gt;""))</f>
        <v/>
      </c>
      <c r="E50" s="9">
        <f>SUMPRODUCT(--(E39:E45&lt;&gt;""))</f>
        <v/>
      </c>
      <c r="F50" s="9">
        <f>SUMPRODUCT(--(F39:F45&lt;&gt;""))</f>
        <v/>
      </c>
      <c r="G50" s="9">
        <f>SUMPRODUCT(--(G39:G45&lt;&gt;""))</f>
        <v/>
      </c>
    </row>
    <row r="52">
      <c r="A52"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53">
      <c r="A53" s="50" t="inlineStr">
        <is>
          <t>Give this grid to the front desk on arrival. Hand out room keys against the names you typed.</t>
        </is>
      </c>
    </row>
    <row r="54">
      <c r="A54" s="50" t="inlineStr">
        <is>
          <t>Two guests in one room?  Put the first name in the 'Guest 1' row and the second in the 'Guest 2' row for that same night. Both rows belong to the same room, so it still counts as one room against NEEDED.</t>
        </is>
      </c>
    </row>
    <row r="55">
      <c r="A55" s="50" t="inlineStr">
        <is>
          <t>Checkout is 12-Dec at 12:30 PM, so 12-Dec needs 0 rooms overnight. Rooms 1-7 are held for the nights of 08, 09, 10 and 11 Dec only.</t>
        </is>
      </c>
    </row>
    <row r="56">
      <c r="A56" s="50" t="inlineStr">
        <is>
          <t>Ask the front desk to release all 7 rooms on 12-Dec at 12:30 PM. Only 2 of the 7 rooms are actually needed on the night of 08-Dec.</t>
        </is>
      </c>
    </row>
  </sheetData>
  <mergeCells count="10">
    <mergeCell ref="A56:AG56"/>
    <mergeCell ref="A21:AG21"/>
    <mergeCell ref="A53:AG53"/>
    <mergeCell ref="A55:AG55"/>
    <mergeCell ref="A12:AG12"/>
    <mergeCell ref="A4:AG4"/>
    <mergeCell ref="A38:AG38"/>
    <mergeCell ref="A30:AG30"/>
    <mergeCell ref="A54:AG54"/>
    <mergeCell ref="A52:AG5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4"/>
  <sheetViews>
    <sheetView showGridLines="0" tabSelected="1" workbookViewId="0">
      <pane xSplit="1" ySplit="3" topLeftCell="B4" activePane="bottomRight" state="frozen"/>
      <selection pane="topRight" activeCell="A1" sqref="A1"/>
      <selection pane="bottomLeft" activeCell="A1" sqref="A1"/>
      <selection pane="bottomRight" activeCell="G18" sqref="G18"/>
    </sheetView>
  </sheetViews>
  <sheetFormatPr baseColWidth="10" defaultColWidth="8.83203125" defaultRowHeight="15"/>
  <cols>
    <col width="27" customWidth="1" style="49" min="1" max="1"/>
    <col width="20" customWidth="1" style="49" min="2" max="2"/>
    <col width="14" customWidth="1" style="49" min="3" max="4"/>
    <col width="24" customWidth="1" style="49" min="5" max="5"/>
    <col width="28" customWidth="1" style="49" min="6" max="6"/>
    <col width="24" customWidth="1" style="49" min="7" max="7"/>
    <col width="12" customWidth="1" style="49" min="8" max="8"/>
    <col width="13" customWidth="1" style="49" min="9" max="11"/>
    <col width="15" customWidth="1" style="49" min="12" max="12"/>
    <col width="18" customWidth="1" style="49" min="13" max="13"/>
    <col width="12" customWidth="1" style="49" min="14" max="16"/>
    <col width="40" customWidth="1" style="49" min="17" max="17"/>
  </cols>
  <sheetData>
    <row r="1" ht="21" customHeight="1" s="49">
      <c r="A1" s="52" t="inlineStr">
        <is>
          <t>VENDOR CONTACTS &amp; PAYMENTS</t>
        </is>
      </c>
    </row>
    <row r="2"/>
    <row r="3" ht="30" customHeight="1" s="49">
      <c r="A3" s="12" t="inlineStr">
        <is>
          <t>Vendor / Category</t>
        </is>
      </c>
      <c r="B3" s="12" t="inlineStr">
        <is>
          <t>Contact Person</t>
        </is>
      </c>
      <c r="C3" s="12" t="inlineStr">
        <is>
          <t>Phone</t>
        </is>
      </c>
      <c r="D3" s="12" t="inlineStr">
        <is>
          <t>WhatsApp</t>
        </is>
      </c>
      <c r="E3" s="12" t="inlineStr">
        <is>
          <t>Email</t>
        </is>
      </c>
      <c r="F3" s="12" t="inlineStr">
        <is>
          <t>Address</t>
        </is>
      </c>
      <c r="G3" s="12" t="inlineStr">
        <is>
          <t>Event</t>
        </is>
      </c>
      <c r="H3" s="12" t="inlineStr">
        <is>
          <t>Event Date</t>
        </is>
      </c>
      <c r="I3" s="12" t="inlineStr">
        <is>
          <t>Amount Quoted</t>
        </is>
      </c>
      <c r="J3" s="12" t="inlineStr">
        <is>
          <t>Amount Paid</t>
        </is>
      </c>
      <c r="K3" s="12" t="inlineStr">
        <is>
          <t>Balance</t>
        </is>
      </c>
      <c r="L3" s="12" t="inlineStr">
        <is>
          <t>Payment Mode</t>
        </is>
      </c>
      <c r="M3" s="12" t="inlineStr">
        <is>
          <t>UTR / Ref</t>
        </is>
      </c>
      <c r="N3" s="12" t="inlineStr">
        <is>
          <t>Paid On</t>
        </is>
      </c>
      <c r="O3" s="12" t="inlineStr">
        <is>
          <t>Status</t>
        </is>
      </c>
      <c r="P3" s="12" t="inlineStr">
        <is>
          <t>Quote PDF</t>
        </is>
      </c>
      <c r="Q3" s="12" t="inlineStr">
        <is>
          <t>Notes</t>
        </is>
      </c>
    </row>
    <row r="4" ht="75" customHeight="1" s="49">
      <c r="A4" s="13" t="inlineStr">
        <is>
          <t>Band / Baraat &amp; DJ &amp; Sound System</t>
        </is>
      </c>
      <c r="B4" s="14" t="inlineStr">
        <is>
          <t>Deeplaxmie Events</t>
        </is>
      </c>
      <c r="C4" s="15" t="inlineStr">
        <is>
          <t>8605622211</t>
        </is>
      </c>
      <c r="D4" s="15" t="inlineStr"/>
      <c r="E4" s="14" t="n"/>
      <c r="F4" s="16" t="inlineStr">
        <is>
          <t>Raviwar Peth, Moti Chowk, Pune 411002</t>
        </is>
      </c>
      <c r="G4" s="16" t="inlineStr">
        <is>
          <t>Baraat</t>
        </is>
      </c>
      <c r="H4" s="14" t="inlineStr">
        <is>
          <t>11-Dec-2026</t>
        </is>
      </c>
      <c r="I4" s="17" t="n">
        <v>41000</v>
      </c>
      <c r="J4" s="17" t="n">
        <v>11000</v>
      </c>
      <c r="K4" s="17">
        <f>IF(I4="","",I4-IF(J4="",0,J4))</f>
        <v/>
      </c>
      <c r="L4" s="14" t="inlineStr"/>
      <c r="M4" s="14" t="inlineStr">
        <is>
          <t>Invoice 284</t>
        </is>
      </c>
      <c r="N4" s="18" t="inlineStr"/>
      <c r="O4" s="14">
        <f>IF(I4="","Not Quoted",IF(K4&lt;=0,"Paid","Pending"))</f>
        <v/>
      </c>
      <c r="P4" s="19" t="inlineStr">
        <is>
          <t>Open PDF</t>
        </is>
      </c>
      <c r="Q4" s="16" t="inlineStr">
        <is>
          <t>11-Dec-2026, 7:00-10:00 PM.  Single combined row for the whole invoice: DJ mixer + operator, 4 top &amp; 2 bass speakers, mic, paar lights, name board both sides, driver, fuel, dance floor, light umbrella setup, generator backup, Punjabi dhol x2.  Do not add separate lighting, DJ or generator rows - all of it is inside the 41,000.  See the itemised reference further down.</t>
        </is>
      </c>
    </row>
    <row r="5">
      <c r="A5" s="13" t="inlineStr">
        <is>
          <t>Tent &amp; Banquet Hall</t>
        </is>
      </c>
      <c r="B5" s="21" t="inlineStr"/>
      <c r="C5" s="22" t="inlineStr"/>
      <c r="D5" s="23" t="inlineStr"/>
      <c r="E5" s="24" t="n"/>
      <c r="F5" s="25" t="inlineStr"/>
      <c r="G5" s="16" t="inlineStr">
        <is>
          <t>Sangeet + Reception</t>
        </is>
      </c>
      <c r="H5" s="14" t="inlineStr">
        <is>
          <t>11-Dec-2026</t>
        </is>
      </c>
      <c r="I5" s="28" t="n"/>
      <c r="J5" s="28" t="n"/>
      <c r="K5" s="17">
        <f>IF(I5="","",I5-IF(J5="",0,J5))</f>
        <v/>
      </c>
      <c r="L5" s="24" t="inlineStr"/>
      <c r="M5" s="21" t="inlineStr"/>
      <c r="N5" s="30" t="inlineStr"/>
      <c r="O5" s="14">
        <f>IF(I5="","Not Quoted",IF(K5&lt;=0,"Paid","Pending"))</f>
        <v/>
      </c>
      <c r="P5" s="25" t="n"/>
      <c r="Q5" s="25" t="inlineStr"/>
    </row>
    <row r="6">
      <c r="A6" s="20" t="inlineStr">
        <is>
          <t>Flower Decoration</t>
        </is>
      </c>
      <c r="B6" s="21" t="inlineStr"/>
      <c r="C6" s="22" t="inlineStr"/>
      <c r="D6" s="23" t="inlineStr"/>
      <c r="E6" s="24" t="n"/>
      <c r="F6" s="25" t="inlineStr"/>
      <c r="G6" s="26" t="inlineStr">
        <is>
          <t>All events</t>
        </is>
      </c>
      <c r="H6" s="27" t="inlineStr"/>
      <c r="I6" s="28" t="n"/>
      <c r="J6" s="28" t="n"/>
      <c r="K6" s="29">
        <f>IF(I6="","",I6-IF(J6="",0,J6))</f>
        <v/>
      </c>
      <c r="L6" s="24" t="inlineStr"/>
      <c r="M6" s="21" t="inlineStr"/>
      <c r="N6" s="30" t="inlineStr"/>
      <c r="O6" s="27">
        <f>IF(I6="","Not Quoted",IF(K6&lt;=0,"Paid","Pending"))</f>
        <v/>
      </c>
      <c r="P6" s="25" t="n"/>
      <c r="Q6" s="25" t="inlineStr"/>
    </row>
    <row r="7">
      <c r="A7" s="20" t="inlineStr">
        <is>
          <t>Photography</t>
        </is>
      </c>
      <c r="B7" s="21" t="inlineStr"/>
      <c r="C7" s="22" t="inlineStr"/>
      <c r="D7" s="23" t="inlineStr"/>
      <c r="E7" s="24" t="n"/>
      <c r="F7" s="25" t="inlineStr"/>
      <c r="G7" s="26" t="inlineStr">
        <is>
          <t>Wedding</t>
        </is>
      </c>
      <c r="H7" s="27" t="inlineStr">
        <is>
          <t>12-Dec-2026</t>
        </is>
      </c>
      <c r="I7" s="28" t="n"/>
      <c r="J7" s="28" t="n"/>
      <c r="K7" s="29">
        <f>IF(I7="","",I7-IF(J7="",0,J7))</f>
        <v/>
      </c>
      <c r="L7" s="24" t="inlineStr"/>
      <c r="M7" s="21" t="inlineStr"/>
      <c r="N7" s="30" t="inlineStr"/>
      <c r="O7" s="27">
        <f>IF(I7="","Not Quoted",IF(K7&lt;=0,"Paid","Pending"))</f>
        <v/>
      </c>
      <c r="P7" s="25" t="n"/>
      <c r="Q7" s="25" t="inlineStr"/>
    </row>
    <row r="8">
      <c r="A8" s="13" t="inlineStr">
        <is>
          <t>Videography</t>
        </is>
      </c>
      <c r="B8" s="21" t="inlineStr"/>
      <c r="C8" s="22" t="inlineStr"/>
      <c r="D8" s="23" t="inlineStr"/>
      <c r="E8" s="24" t="n"/>
      <c r="F8" s="25" t="inlineStr"/>
      <c r="G8" s="16" t="inlineStr">
        <is>
          <t>Wedding</t>
        </is>
      </c>
      <c r="H8" s="14" t="inlineStr">
        <is>
          <t>12-Dec-2026</t>
        </is>
      </c>
      <c r="I8" s="28" t="n"/>
      <c r="J8" s="28" t="n"/>
      <c r="K8" s="17">
        <f>IF(I8="","",I8-IF(J8="",0,J8))</f>
        <v/>
      </c>
      <c r="L8" s="24" t="inlineStr"/>
      <c r="M8" s="21" t="inlineStr"/>
      <c r="N8" s="30" t="inlineStr"/>
      <c r="O8" s="14">
        <f>IF(I8="","Not Quoted",IF(K8&lt;=0,"Paid","Pending"))</f>
        <v/>
      </c>
      <c r="P8" s="25" t="n"/>
      <c r="Q8" s="25" t="inlineStr"/>
    </row>
    <row r="9">
      <c r="A9" s="20" t="inlineStr">
        <is>
          <t>Catering (Food)</t>
        </is>
      </c>
      <c r="B9" s="21" t="inlineStr"/>
      <c r="C9" s="22" t="inlineStr"/>
      <c r="D9" s="23" t="inlineStr"/>
      <c r="E9" s="24" t="n"/>
      <c r="F9" s="25" t="inlineStr"/>
      <c r="G9" s="26" t="inlineStr">
        <is>
          <t>Sangeet, Reception, Brunch</t>
        </is>
      </c>
      <c r="H9" s="27" t="inlineStr">
        <is>
          <t>11-Dec-2026</t>
        </is>
      </c>
      <c r="I9" s="28" t="n"/>
      <c r="J9" s="28" t="n"/>
      <c r="K9" s="29">
        <f>IF(I9="","",I9-IF(J9="",0,J9))</f>
        <v/>
      </c>
      <c r="L9" s="24" t="inlineStr"/>
      <c r="M9" s="21" t="inlineStr"/>
      <c r="N9" s="30" t="inlineStr"/>
      <c r="O9" s="27">
        <f>IF(I9="","Not Quoted",IF(K9&lt;=0,"Paid","Pending"))</f>
        <v/>
      </c>
      <c r="P9" s="25" t="n"/>
      <c r="Q9" s="25" t="inlineStr"/>
    </row>
    <row r="10">
      <c r="A10" s="13" t="inlineStr">
        <is>
          <t>Pandit / Purohit</t>
        </is>
      </c>
      <c r="B10" s="21" t="inlineStr"/>
      <c r="C10" s="22" t="inlineStr"/>
      <c r="D10" s="23" t="inlineStr"/>
      <c r="E10" s="24" t="n"/>
      <c r="F10" s="25" t="inlineStr"/>
      <c r="G10" s="16" t="inlineStr">
        <is>
          <t>Wedding Ceremony</t>
        </is>
      </c>
      <c r="H10" s="14" t="inlineStr">
        <is>
          <t>12-Dec-2026</t>
        </is>
      </c>
      <c r="I10" s="28" t="n"/>
      <c r="J10" s="28" t="n"/>
      <c r="K10" s="17">
        <f>IF(I10="","",I10-IF(J10="",0,J10))</f>
        <v/>
      </c>
      <c r="L10" s="24" t="inlineStr"/>
      <c r="M10" s="21" t="inlineStr"/>
      <c r="N10" s="30" t="inlineStr"/>
      <c r="O10" s="14">
        <f>IF(I10="","Not Quoted",IF(K10&lt;=0,"Paid","Pending"))</f>
        <v/>
      </c>
      <c r="P10" s="25" t="n"/>
      <c r="Q10" s="25" t="inlineStr"/>
    </row>
    <row r="11">
      <c r="A11" s="20" t="inlineStr">
        <is>
          <t>Makeup &amp; Mehendi</t>
        </is>
      </c>
      <c r="B11" s="21" t="inlineStr"/>
      <c r="C11" s="22" t="inlineStr"/>
      <c r="D11" s="23" t="inlineStr"/>
      <c r="E11" s="24" t="n"/>
      <c r="F11" s="25" t="inlineStr"/>
      <c r="G11" s="26" t="inlineStr">
        <is>
          <t>Mehendi</t>
        </is>
      </c>
      <c r="H11" s="27" t="inlineStr">
        <is>
          <t>10-Dec-2026</t>
        </is>
      </c>
      <c r="I11" s="28" t="n"/>
      <c r="J11" s="28" t="n"/>
      <c r="K11" s="29">
        <f>IF(I11="","",I11-IF(J11="",0,J11))</f>
        <v/>
      </c>
      <c r="L11" s="24" t="inlineStr"/>
      <c r="M11" s="21" t="inlineStr"/>
      <c r="N11" s="30" t="inlineStr"/>
      <c r="O11" s="27">
        <f>IF(I11="","Not Quoted",IF(K11&lt;=0,"Paid","Pending"))</f>
        <v/>
      </c>
      <c r="P11" s="25" t="n"/>
      <c r="Q11" s="25" t="inlineStr"/>
    </row>
    <row r="12">
      <c r="A12" s="13" t="inlineStr">
        <is>
          <t>Stage &amp; Seating</t>
        </is>
      </c>
      <c r="B12" s="21" t="inlineStr"/>
      <c r="C12" s="22" t="inlineStr"/>
      <c r="D12" s="23" t="inlineStr"/>
      <c r="E12" s="24" t="n"/>
      <c r="F12" s="25" t="inlineStr"/>
      <c r="G12" s="16" t="inlineStr">
        <is>
          <t>Sangeet + Wedding</t>
        </is>
      </c>
      <c r="H12" s="14" t="inlineStr">
        <is>
          <t>11-Dec-2026</t>
        </is>
      </c>
      <c r="I12" s="28" t="n"/>
      <c r="J12" s="28" t="n"/>
      <c r="K12" s="17">
        <f>IF(I12="","",I12-IF(J12="",0,J12))</f>
        <v/>
      </c>
      <c r="L12" s="24" t="inlineStr"/>
      <c r="M12" s="21" t="inlineStr"/>
      <c r="N12" s="30" t="inlineStr"/>
      <c r="O12" s="14">
        <f>IF(I12="","Not Quoted",IF(K12&lt;=0,"Paid","Pending"))</f>
        <v/>
      </c>
      <c r="P12" s="25" t="n"/>
      <c r="Q12" s="25" t="inlineStr"/>
    </row>
    <row r="13">
      <c r="A13" s="20" t="inlineStr">
        <is>
          <t>Transport / Cars</t>
        </is>
      </c>
      <c r="B13" s="21" t="inlineStr"/>
      <c r="C13" s="22" t="inlineStr"/>
      <c r="D13" s="23" t="inlineStr"/>
      <c r="E13" s="24" t="n"/>
      <c r="F13" s="25" t="inlineStr"/>
      <c r="G13" s="26" t="inlineStr">
        <is>
          <t>Baraat</t>
        </is>
      </c>
      <c r="H13" s="27" t="inlineStr">
        <is>
          <t>12-Dec-2026</t>
        </is>
      </c>
      <c r="I13" s="28" t="n"/>
      <c r="J13" s="28" t="n"/>
      <c r="K13" s="29">
        <f>IF(I13="","",I13-IF(J13="",0,J13))</f>
        <v/>
      </c>
      <c r="L13" s="24" t="inlineStr"/>
      <c r="M13" s="21" t="inlineStr"/>
      <c r="N13" s="30" t="inlineStr"/>
      <c r="O13" s="27">
        <f>IF(I13="","Not Quoted",IF(K13&lt;=0,"Paid","Pending"))</f>
        <v/>
      </c>
      <c r="P13" s="25" t="n"/>
      <c r="Q13" s="25" t="inlineStr"/>
    </row>
    <row r="14">
      <c r="A14" s="13" t="inlineStr">
        <is>
          <t>Return Gifts / Favours</t>
        </is>
      </c>
      <c r="B14" s="21" t="inlineStr"/>
      <c r="C14" s="22" t="inlineStr"/>
      <c r="D14" s="23" t="inlineStr"/>
      <c r="E14" s="24" t="n"/>
      <c r="F14" s="25" t="inlineStr"/>
      <c r="G14" s="16" t="inlineStr">
        <is>
          <t>Reception</t>
        </is>
      </c>
      <c r="H14" s="14" t="inlineStr">
        <is>
          <t>12-Dec-2026</t>
        </is>
      </c>
      <c r="I14" s="28" t="n"/>
      <c r="J14" s="28" t="n"/>
      <c r="K14" s="17">
        <f>IF(I14="","",I14-IF(J14="",0,J14))</f>
        <v/>
      </c>
      <c r="L14" s="24" t="inlineStr"/>
      <c r="M14" s="21" t="inlineStr"/>
      <c r="N14" s="30" t="inlineStr"/>
      <c r="O14" s="14">
        <f>IF(I14="","Not Quoted",IF(K14&lt;=0,"Paid","Pending"))</f>
        <v/>
      </c>
      <c r="P14" s="25" t="n"/>
      <c r="Q14" s="25" t="inlineStr"/>
    </row>
    <row r="15">
      <c r="A15" s="20" t="inlineStr">
        <is>
          <t>Haldi &amp; Mehendi Items</t>
        </is>
      </c>
      <c r="B15" s="21" t="inlineStr"/>
      <c r="C15" s="22" t="inlineStr"/>
      <c r="D15" s="23" t="inlineStr"/>
      <c r="E15" s="24" t="n"/>
      <c r="F15" s="25" t="inlineStr"/>
      <c r="G15" s="26" t="inlineStr">
        <is>
          <t>Haldi</t>
        </is>
      </c>
      <c r="H15" s="27" t="inlineStr">
        <is>
          <t>11-Dec-2026</t>
        </is>
      </c>
      <c r="I15" s="28" t="n"/>
      <c r="J15" s="28" t="n"/>
      <c r="K15" s="29">
        <f>IF(I15="","",I15-IF(J15="",0,J15))</f>
        <v/>
      </c>
      <c r="L15" s="24" t="inlineStr"/>
      <c r="M15" s="21" t="inlineStr"/>
      <c r="N15" s="30" t="inlineStr"/>
      <c r="O15" s="27">
        <f>IF(I15="","Not Quoted",IF(K15&lt;=0,"Paid","Pending"))</f>
        <v/>
      </c>
      <c r="P15" s="25" t="n"/>
      <c r="Q15" s="25" t="inlineStr"/>
    </row>
    <row r="16">
      <c r="A16" s="13" t="inlineStr">
        <is>
          <t>Sangeet Anchoring / Choreography</t>
        </is>
      </c>
      <c r="B16" s="21" t="inlineStr"/>
      <c r="C16" s="22" t="inlineStr"/>
      <c r="D16" s="23" t="inlineStr"/>
      <c r="E16" s="24" t="n"/>
      <c r="F16" s="25" t="inlineStr"/>
      <c r="G16" s="16" t="inlineStr">
        <is>
          <t>Sangeet Night</t>
        </is>
      </c>
      <c r="H16" s="14" t="inlineStr">
        <is>
          <t>11-Dec-2026</t>
        </is>
      </c>
      <c r="I16" s="28" t="n"/>
      <c r="J16" s="28" t="n"/>
      <c r="K16" s="17">
        <f>IF(I16="","",I16-IF(J16="",0,J16))</f>
        <v/>
      </c>
      <c r="L16" s="24" t="inlineStr"/>
      <c r="M16" s="21" t="inlineStr"/>
      <c r="N16" s="30" t="inlineStr"/>
      <c r="O16" s="14">
        <f>IF(I16="","Not Quoted",IF(K16&lt;=0,"Paid","Pending"))</f>
        <v/>
      </c>
      <c r="P16" s="25" t="n"/>
      <c r="Q16" s="25" t="inlineStr"/>
    </row>
    <row r="17">
      <c r="A17" s="13" t="inlineStr">
        <is>
          <t>Other / Miscellaneous</t>
        </is>
      </c>
      <c r="B17" s="21" t="inlineStr"/>
      <c r="C17" s="22" t="inlineStr"/>
      <c r="D17" s="23" t="inlineStr"/>
      <c r="E17" s="24" t="n"/>
      <c r="F17" s="25" t="inlineStr"/>
      <c r="G17" s="16" t="inlineStr"/>
      <c r="H17" s="14" t="inlineStr"/>
      <c r="I17" s="28" t="n"/>
      <c r="J17" s="28" t="n"/>
      <c r="K17" s="17">
        <f>IF(I17="","",I17-IF(J17="",0,J17))</f>
        <v/>
      </c>
      <c r="L17" s="24" t="inlineStr"/>
      <c r="M17" s="21" t="inlineStr"/>
      <c r="N17" s="30" t="inlineStr"/>
      <c r="O17" s="14">
        <f>IF(I17="","Not Quoted",IF(K17&lt;=0,"Paid","Pending"))</f>
        <v/>
      </c>
      <c r="P17" s="25" t="n"/>
      <c r="Q17" s="25" t="inlineStr"/>
    </row>
    <row r="18" ht="75" customHeight="1" s="49">
      <c r="A18" s="38" t="inlineStr">
        <is>
          <t>Hotel - Nirmal's Executive</t>
        </is>
      </c>
      <c r="B18" s="21" t="inlineStr">
        <is>
          <t>Nirmal Reception</t>
        </is>
      </c>
      <c r="C18" s="39" t="inlineStr">
        <is>
          <t>+91 93091 74167</t>
        </is>
      </c>
      <c r="D18" s="57" t="inlineStr">
        <is>
          <t>+91?93091?74167</t>
        </is>
      </c>
      <c r="E18" s="24" t="n"/>
      <c r="F18" s="40" t="inlineStr">
        <is>
          <t>Sr No 40,2, Classic Gloria, near Angraj Dhaba, Yewalewadi, Sinhgad Kondwa, Danny Mehata Nagar, Kondhwa Budruk, Pune, Maharashtra 411048, India</t>
        </is>
      </c>
      <c r="G18" s="41" t="inlineStr">
        <is>
          <t>Accommodation 08-14 Dec</t>
        </is>
      </c>
      <c r="H18" s="16" t="inlineStr"/>
      <c r="I18" s="14" t="n">
        <v>84000</v>
      </c>
      <c r="J18" s="17" t="n">
        <v>25000</v>
      </c>
      <c r="K18" s="17">
        <f>IF(I18="","",I18-IF(J18="",0,J18))</f>
        <v/>
      </c>
      <c r="L18" s="17" t="inlineStr"/>
      <c r="M18" s="14" t="inlineStr"/>
      <c r="N18" s="14" t="inlineStr"/>
      <c r="O18" s="18">
        <f>IF(I18="","Not Quoted",IF(K18&lt;=0,"Paid","Pending"))</f>
        <v/>
      </c>
      <c r="P18" s="16" t="n"/>
      <c r="Q18" s="46" t="inlineStr"/>
    </row>
    <row r="19">
      <c r="A19" s="31" t="inlineStr">
        <is>
          <t>TOTAL</t>
        </is>
      </c>
      <c r="B19" s="32" t="n"/>
      <c r="C19" s="32" t="n"/>
      <c r="D19" s="32" t="n"/>
      <c r="E19" s="32" t="n"/>
      <c r="F19" s="32" t="n"/>
      <c r="G19" s="32" t="n"/>
      <c r="H19" s="32" t="n"/>
      <c r="I19" s="33">
        <f>SUM(I4:I18)</f>
        <v/>
      </c>
      <c r="J19" s="33">
        <f>SUM(J4:J18)</f>
        <v/>
      </c>
      <c r="K19" s="33">
        <f>SUM(K4:K18)</f>
        <v/>
      </c>
      <c r="L19" s="32" t="n"/>
      <c r="M19" s="32" t="n"/>
      <c r="N19" s="32" t="n"/>
      <c r="O19" s="32" t="n"/>
      <c r="P19" s="32" t="n"/>
      <c r="Q19" s="32" t="n"/>
    </row>
    <row r="21">
      <c r="A21" s="48" t="inlineStr">
        <is>
          <t>PAYMENT SUMMARY</t>
        </is>
      </c>
    </row>
    <row r="22">
      <c r="A22" s="3" t="inlineStr">
        <is>
          <t>Total quoted</t>
        </is>
      </c>
      <c r="B22" s="34">
        <f>I19</f>
        <v/>
      </c>
    </row>
    <row r="23">
      <c r="A23" s="3" t="inlineStr">
        <is>
          <t>Total paid</t>
        </is>
      </c>
      <c r="B23" s="34">
        <f>J19</f>
        <v/>
      </c>
    </row>
    <row r="24">
      <c r="A24" s="3" t="inlineStr">
        <is>
          <t>Total outstanding</t>
        </is>
      </c>
      <c r="B24" s="34">
        <f>K19</f>
        <v/>
      </c>
    </row>
    <row r="25">
      <c r="A25" s="3" t="inlineStr">
        <is>
          <t>Vendors still pending</t>
        </is>
      </c>
      <c r="B25" s="35">
        <f>COUNTIF(O4:O18,"Pending")</f>
        <v/>
      </c>
    </row>
    <row r="26">
      <c r="A26" s="3" t="inlineStr">
        <is>
          <t>Vendors fully paid</t>
        </is>
      </c>
      <c r="B26" s="35">
        <f>COUNTIF(O4:O18,"Paid")</f>
        <v/>
      </c>
    </row>
    <row r="27">
      <c r="A27" s="3" t="inlineStr">
        <is>
          <t>Not quoted yet</t>
        </is>
      </c>
      <c r="B27" s="35">
        <f>COUNTIF(O4:O18,"Not Quoted")</f>
        <v/>
      </c>
    </row>
    <row r="29">
      <c r="A29" s="50" t="inlineStr">
        <is>
          <t>Status is automatic:  no amount yet -&gt; Not Quoted  |  balance cleared -&gt; Paid  |  balance left -&gt; Pending.  Filter column O to see who still owes money.</t>
        </is>
      </c>
    </row>
    <row r="30">
      <c r="A30" s="50" t="inlineStr">
        <is>
          <t>Quote PDF links to the invoice file. Drop new invoices in the 'Vendor PDFs' folder next to this workbook and link them the same way. Keep the folder together with the workbook or the links break.</t>
        </is>
      </c>
    </row>
    <row r="31">
      <c r="A31" s="50" t="inlineStr">
        <is>
          <t>Invoice terms for each vendor are on that vendor's own sheet, e.g. 'Deeplaxmie Events'.</t>
        </is>
      </c>
    </row>
    <row r="32">
      <c r="A32" s="50" t="inlineStr">
        <is>
          <t>Rule: one row per vendor.  Never split one invoice into several vendor rows - if a single invoice covers DJ, sound, lighting and generator, all of it belongs in that one vendor's row and that one total.  Add a new row only for a genuinely new vendor.</t>
        </is>
      </c>
    </row>
    <row r="33">
      <c r="A33" s="50" t="inlineStr">
        <is>
          <t>Extracted invoice line items live on that vendor's own sheet - one sheet per vendor.</t>
        </is>
      </c>
    </row>
    <row r="34">
      <c r="A34" s="50" t="n"/>
    </row>
    <row r="39" ht="24" customHeight="1" s="49"/>
    <row r="40" ht="24" customHeight="1" s="49"/>
    <row r="41" ht="24" customHeight="1" s="49"/>
    <row r="42" ht="24" customHeight="1" s="49"/>
  </sheetData>
  <autoFilter ref="A3:Q18"/>
  <mergeCells count="5">
    <mergeCell ref="A31:Q31"/>
    <mergeCell ref="A30:Q30"/>
    <mergeCell ref="A29:Q29"/>
    <mergeCell ref="A33:Q33"/>
    <mergeCell ref="A32:Q32"/>
  </mergeCells>
  <conditionalFormatting sqref="K4:K17">
    <cfRule type="cellIs" priority="2" operator="greaterThan" dxfId="0">
      <formula>0</formula>
    </cfRule>
  </conditionalFormatting>
  <conditionalFormatting sqref="O4:O17">
    <cfRule type="cellIs" priority="3" operator="equal" dxfId="2">
      <formula>"Paid"</formula>
    </cfRule>
    <cfRule type="cellIs" priority="4" operator="equal" dxfId="1">
      <formula>"Pending"</formula>
    </cfRule>
  </conditionalFormatting>
  <conditionalFormatting sqref="L18">
    <cfRule type="cellIs" priority="1" operator="greaterThan" dxfId="0">
      <formula>0</formula>
    </cfRule>
  </conditionalFormatting>
  <dataValidations count="1">
    <dataValidation sqref="L4:L18" showDropDown="0" showInputMessage="0" showErrorMessage="0" allowBlank="1" type="list">
      <formula1>"Cash,UPI,Bank Transfer,Card,Cheque,Other"</formula1>
    </dataValidation>
  </dataValidations>
  <hyperlinks>
    <hyperlink xmlns:r="http://schemas.openxmlformats.org/officeDocument/2006/relationships" ref="P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showGridLines="0" zoomScale="136" workbookViewId="0">
      <pane ySplit="6" topLeftCell="A7" activePane="bottomLeft" state="frozen"/>
      <selection pane="bottomLeft" activeCell="A1" sqref="A1:E1"/>
    </sheetView>
  </sheetViews>
  <sheetFormatPr baseColWidth="10" defaultColWidth="8.83203125" defaultRowHeight="15"/>
  <cols>
    <col width="34" customWidth="1" style="49" min="1" max="1"/>
    <col width="10" customWidth="1" style="49" min="2" max="2"/>
    <col width="14" customWidth="1" style="49" min="3" max="4"/>
    <col width="4" customWidth="1" style="49" min="5" max="5"/>
  </cols>
  <sheetData>
    <row r="1" ht="21" customHeight="1" s="49">
      <c r="A1" s="52" t="inlineStr">
        <is>
          <t>BAND / BARAAT — INVOICE 284 BREAKDOWN (Deeplaxmie Events, 11-Dec-2026, 7:00-10:00 PM)</t>
        </is>
      </c>
    </row>
    <row r="2">
      <c r="A2" s="51" t="inlineStr">
        <is>
          <t>Band / Baraat &amp; DJ &amp; Sound System  |  11-Dec-2026, 7:00-10:00 PM  |  Raviwar Peth, Moti Chowk, Pune 411002  |  8605622211</t>
        </is>
      </c>
    </row>
    <row r="3">
      <c r="A3" s="50" t="inlineStr">
        <is>
          <t>REFERENCE ONLY. These figures do not feed the Vendors sheet. The whole invoice is tracked as ONE vendor row (Vendors row 5) so nothing is double counted.</t>
        </is>
      </c>
    </row>
    <row r="5">
      <c r="A5" s="48" t="inlineStr">
        <is>
          <t>INVOICE LINE ITEMS</t>
        </is>
      </c>
    </row>
    <row r="6">
      <c r="A6" s="5" t="inlineStr">
        <is>
          <t>Item</t>
        </is>
      </c>
      <c r="B6" s="5" t="inlineStr">
        <is>
          <t>Qty</t>
        </is>
      </c>
      <c r="C6" s="5" t="inlineStr">
        <is>
          <t>Unit price</t>
        </is>
      </c>
      <c r="D6" s="5" t="inlineStr">
        <is>
          <t>Total</t>
        </is>
      </c>
    </row>
    <row r="7">
      <c r="A7" s="14" t="inlineStr">
        <is>
          <t>Baraat DJ Truck</t>
        </is>
      </c>
      <c r="B7" s="34" t="n">
        <v>1</v>
      </c>
      <c r="C7" s="34" t="n">
        <v>25000</v>
      </c>
      <c r="D7" s="34" t="n">
        <v>25000</v>
      </c>
    </row>
    <row r="8">
      <c r="A8" s="14" t="inlineStr">
        <is>
          <t>Light Chatri</t>
        </is>
      </c>
      <c r="B8" s="34" t="n">
        <v>8</v>
      </c>
      <c r="C8" s="34" t="n">
        <v>2000</v>
      </c>
      <c r="D8" s="34" t="n">
        <v>16000</v>
      </c>
    </row>
    <row r="9">
      <c r="A9" s="14" t="inlineStr">
        <is>
          <t>Punjabhi Dhol</t>
        </is>
      </c>
      <c r="B9" s="34" t="n">
        <v>2</v>
      </c>
      <c r="C9" s="34" t="n">
        <v>2000</v>
      </c>
      <c r="D9" s="34" t="n">
        <v>4000</v>
      </c>
    </row>
    <row r="10">
      <c r="A10" s="36" t="inlineStr">
        <is>
          <t>Sub Total</t>
        </is>
      </c>
      <c r="D10" s="37" t="n">
        <v>45000</v>
      </c>
    </row>
    <row r="11">
      <c r="A11" s="36" t="inlineStr">
        <is>
          <t>Less: Discounts</t>
        </is>
      </c>
      <c r="D11" s="37" t="n">
        <v>-4000</v>
      </c>
    </row>
    <row r="12">
      <c r="A12" s="36" t="inlineStr">
        <is>
          <t>Total</t>
        </is>
      </c>
      <c r="D12" s="44" t="n">
        <v>41000</v>
      </c>
    </row>
    <row r="13">
      <c r="A13" s="36" t="inlineStr">
        <is>
          <t>Advance paid</t>
        </is>
      </c>
      <c r="D13" s="37" t="n">
        <v>11000</v>
      </c>
    </row>
    <row r="14">
      <c r="A14" s="36" t="inlineStr">
        <is>
          <t>Balance due</t>
        </is>
      </c>
      <c r="D14" s="44" t="n">
        <v>30000</v>
      </c>
    </row>
    <row r="16">
      <c r="A16" s="48" t="inlineStr">
        <is>
          <t>INVOICE TERMS</t>
        </is>
      </c>
    </row>
    <row r="17">
      <c r="A17" s="50" t="inlineStr">
        <is>
          <t>Invoice 284 terms: advance is non-refundable, balance must clear before or on event day prior to setup, crowd damage is chargeable, extra hours are billed extra.</t>
        </is>
      </c>
    </row>
    <row r="18">
      <c r="A18" s="48" t="inlineStr">
        <is>
          <t>QUOTE / INVOICE PDF</t>
        </is>
      </c>
    </row>
    <row r="19">
      <c r="A19" s="45" t="inlineStr">
        <is>
          <t>Open PDF</t>
        </is>
      </c>
    </row>
    <row r="21">
      <c r="A21" s="50" t="inlineStr">
        <is>
          <t>Vendor totals and payment status live on the Vendors sheet - this sheet is the itemised source of the 41,000.</t>
        </is>
      </c>
    </row>
    <row r="35">
      <c r="A35" s="50" t="n"/>
    </row>
  </sheetData>
  <mergeCells count="8">
    <mergeCell ref="A21:E21"/>
    <mergeCell ref="A16:E16"/>
    <mergeCell ref="A2:E2"/>
    <mergeCell ref="A5:E5"/>
    <mergeCell ref="A1:E1"/>
    <mergeCell ref="A17:E17"/>
    <mergeCell ref="A18:E18"/>
    <mergeCell ref="A3:E3"/>
  </mergeCells>
  <hyperlinks>
    <hyperlink xmlns:r="http://schemas.openxmlformats.org/officeDocument/2006/relationships" ref="A19"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zoomScale="137" workbookViewId="0">
      <pane ySplit="3" topLeftCell="A4" activePane="bottomLeft" state="frozen"/>
      <selection pane="bottomLeft" activeCell="F21" sqref="F21"/>
    </sheetView>
  </sheetViews>
  <sheetFormatPr baseColWidth="10" defaultColWidth="8.83203125" defaultRowHeight="15"/>
  <cols>
    <col width="30" customWidth="1" style="49" min="1" max="1"/>
    <col width="10" customWidth="1" style="49" min="2" max="2"/>
    <col width="14" customWidth="1" style="49" min="3" max="3"/>
    <col width="46" customWidth="1" style="49" min="4" max="4"/>
    <col width="4" customWidth="1" style="49" min="5" max="5"/>
  </cols>
  <sheetData>
    <row r="1" ht="21" customHeight="1" s="49">
      <c r="A1" s="52" t="inlineStr">
        <is>
          <t>NIRMAL'S EXECUTIVE — HOTEL COST DETAIL</t>
        </is>
      </c>
    </row>
    <row r="2">
      <c r="A2" s="51" t="inlineStr">
        <is>
          <t>+91 93091 74167  |  Sr No 40,2, Classic Gloria, near Angraj Dhaba, Yewalewadi, Sinhgad Kondwa, Danny Mehata Nagar, Kondhwa Budruk, Pune, Maharashtra 411048, India</t>
        </is>
      </c>
    </row>
    <row r="3">
      <c r="A3" s="50" t="inlineStr">
        <is>
          <t>REFERENCE / DETAIL VIEW. The hotel is tracked as ONE row on the Vendors sheet (row 19) and its 84,000 / 25,000 are included in the Vendors TOTAL. This sheet only breaks the cost down — it does not add to the totals a second time.</t>
        </is>
      </c>
    </row>
    <row r="5">
      <c r="A5" s="48" t="inlineStr">
        <is>
          <t>BOOKING</t>
        </is>
      </c>
    </row>
    <row r="6">
      <c r="A6" s="14" t="inlineStr">
        <is>
          <t>Check-in</t>
        </is>
      </c>
      <c r="D6" s="34" t="inlineStr">
        <is>
          <t>08-Dec-2026</t>
        </is>
      </c>
    </row>
    <row r="7">
      <c r="A7" s="14" t="inlineStr">
        <is>
          <t>Check-out</t>
        </is>
      </c>
      <c r="D7" s="34" t="inlineStr">
        <is>
          <t>14-Dec-2026</t>
        </is>
      </c>
    </row>
    <row r="8">
      <c r="A8" s="14" t="inlineStr">
        <is>
          <t>Total rooms</t>
        </is>
      </c>
      <c r="D8" s="34" t="n">
        <v>10</v>
      </c>
    </row>
    <row r="9">
      <c r="A9" s="14" t="inlineStr">
        <is>
          <t>Total room-nights</t>
        </is>
      </c>
      <c r="D9" s="34" t="n">
        <v>37</v>
      </c>
    </row>
    <row r="11">
      <c r="A11" s="48" t="inlineStr">
        <is>
          <t>ROOM-NIGHT PLAN</t>
        </is>
      </c>
    </row>
    <row r="12">
      <c r="A12" s="5" t="inlineStr">
        <is>
          <t>Date</t>
        </is>
      </c>
      <c r="B12" s="5" t="inlineStr">
        <is>
          <t>Rooms</t>
        </is>
      </c>
      <c r="C12" s="5" t="inlineStr">
        <is>
          <t>Room-nights</t>
        </is>
      </c>
    </row>
    <row r="13">
      <c r="A13" s="14" t="inlineStr">
        <is>
          <t>08-Dec</t>
        </is>
      </c>
      <c r="B13" s="34" t="n">
        <v>2</v>
      </c>
      <c r="C13" s="34" t="n">
        <v>2</v>
      </c>
    </row>
    <row r="14">
      <c r="A14" s="14" t="inlineStr">
        <is>
          <t>09-Dec</t>
        </is>
      </c>
      <c r="B14" s="34" t="n">
        <v>3</v>
      </c>
      <c r="C14" s="34" t="n">
        <v>3</v>
      </c>
    </row>
    <row r="15">
      <c r="A15" s="14" t="inlineStr">
        <is>
          <t>10-Dec</t>
        </is>
      </c>
      <c r="B15" s="34" t="n">
        <v>10</v>
      </c>
      <c r="C15" s="34" t="n">
        <v>10</v>
      </c>
    </row>
    <row r="16">
      <c r="A16" s="14" t="inlineStr">
        <is>
          <t>11-Dec</t>
        </is>
      </c>
      <c r="B16" s="34" t="n">
        <v>10</v>
      </c>
      <c r="C16" s="34" t="n">
        <v>10</v>
      </c>
    </row>
    <row r="17">
      <c r="A17" s="14" t="inlineStr">
        <is>
          <t>12-Dec</t>
        </is>
      </c>
      <c r="B17" s="34" t="n">
        <v>10</v>
      </c>
      <c r="C17" s="34" t="n">
        <v>10</v>
      </c>
    </row>
    <row r="18">
      <c r="A18" s="14" t="inlineStr">
        <is>
          <t>13-Dec</t>
        </is>
      </c>
      <c r="B18" s="34" t="n">
        <v>2</v>
      </c>
      <c r="C18" s="34" t="n">
        <v>2</v>
      </c>
    </row>
    <row r="19">
      <c r="A19" s="36" t="inlineStr">
        <is>
          <t>TOTAL</t>
        </is>
      </c>
      <c r="B19" s="44">
        <f>SUM(B13:B18)</f>
        <v/>
      </c>
      <c r="C19" s="44">
        <f>SUM(C13:C18)</f>
        <v/>
      </c>
    </row>
    <row r="21">
      <c r="A21" s="48" t="inlineStr">
        <is>
          <t>COST</t>
        </is>
      </c>
    </row>
    <row r="22">
      <c r="A22" s="14" t="inlineStr">
        <is>
          <t>Amount quoted</t>
        </is>
      </c>
      <c r="D22" s="34" t="n">
        <v>84000</v>
      </c>
    </row>
    <row r="23">
      <c r="A23" s="14" t="inlineStr">
        <is>
          <t>Amount paid</t>
        </is>
      </c>
      <c r="D23" s="34" t="n">
        <v>25000</v>
      </c>
    </row>
    <row r="24">
      <c r="A24" s="36" t="inlineStr">
        <is>
          <t>Balance due</t>
        </is>
      </c>
      <c r="D24" s="44">
        <f>D22-D23</f>
        <v/>
      </c>
    </row>
    <row r="25">
      <c r="A25" s="14" t="inlineStr">
        <is>
          <t>Average per room-night (derived)</t>
        </is>
      </c>
      <c r="D25" s="47">
        <f>ROUND(D22/C19,2)</f>
        <v/>
      </c>
    </row>
    <row r="26">
      <c r="A26" s="50" t="inlineStr">
        <is>
          <t>Sanity check only: 84,000 ÷ 37 room-nights = 2,270.27 on average. This is a derived average, not a per-night rate the hotel quoted — confirm the actual rate and any taxes or extras with them before paying the balance.</t>
        </is>
      </c>
    </row>
    <row r="28">
      <c r="A28" s="48" t="inlineStr">
        <is>
          <t>CONTACT</t>
        </is>
      </c>
    </row>
    <row r="29">
      <c r="A29" s="14" t="inlineStr">
        <is>
          <t>Google rating</t>
        </is>
      </c>
      <c r="D29" s="34" t="inlineStr">
        <is>
          <t>4,792 reviews</t>
        </is>
      </c>
    </row>
    <row r="30">
      <c r="A30" s="14" t="inlineStr">
        <is>
          <t>Phone</t>
        </is>
      </c>
      <c r="D30" s="34" t="inlineStr">
        <is>
          <t>+91 93091 74167</t>
        </is>
      </c>
    </row>
    <row r="31">
      <c r="A31" s="14" t="inlineStr">
        <is>
          <t>Address</t>
        </is>
      </c>
      <c r="D31" s="34" t="inlineStr">
        <is>
          <t>Sr No 40,2, Classic Gloria, near Angraj Dhaba, Yewalewadi, Sinhgad Kondwa, Danny Mehata Nagar, Kondhwa Budruk, Pune, Maharashtra 411048, India</t>
        </is>
      </c>
    </row>
    <row r="33">
      <c r="A33" s="50" t="inlineStr">
        <is>
          <t>Room-by-night allocation grid is on the Nirmal sheet. Payment status, UTR and balance on the Vendors sheet.</t>
        </is>
      </c>
    </row>
  </sheetData>
  <mergeCells count="9">
    <mergeCell ref="A21:E21"/>
    <mergeCell ref="A26:E26"/>
    <mergeCell ref="A2:E2"/>
    <mergeCell ref="A28:E28"/>
    <mergeCell ref="A33:E33"/>
    <mergeCell ref="A11:E11"/>
    <mergeCell ref="A1:E1"/>
    <mergeCell ref="A5:E5"/>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2026-09-28T14:26:10Z</dcterms:created>
  <dcterms:modified xsi:type="dcterms:W3CDTF">2026-10-04T10:38:03Z</dcterms:modified>
  <cp:lastModifiedBy>Suraj Singh</cp:lastModifiedBy>
</cp:coreProperties>
</file>