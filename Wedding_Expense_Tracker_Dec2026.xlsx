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inlineStr">
        <is>
          <t>Suraj Singh</t>
        </is>
      </c>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n"/>
      <c r="E4" s="14" t="n"/>
      <c r="F4" s="16" t="inlineStr">
        <is>
          <t>Raviwar Peth, Moti Chowk, Pune 411002</t>
        </is>
      </c>
      <c r="G4" s="16" t="inlineStr">
        <is>
          <t>Baraat</t>
        </is>
      </c>
      <c r="H4" s="14" t="inlineStr">
        <is>
          <t>11-Dec-2026</t>
        </is>
      </c>
      <c r="I4" s="17" t="n">
        <v>41000</v>
      </c>
      <c r="J4" s="17" t="n">
        <v>11000</v>
      </c>
      <c r="K4" s="17">
        <f>IF(I4="","",I4-IF(J4="",0,J4))</f>
        <v/>
      </c>
      <c r="L4" s="14" t="n"/>
      <c r="M4" s="14" t="inlineStr">
        <is>
          <t>Invoice 284</t>
        </is>
      </c>
      <c r="N4" s="18" t="n"/>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n"/>
      <c r="C5" s="22" t="n"/>
      <c r="D5" s="23" t="n"/>
      <c r="E5" s="24" t="n"/>
      <c r="F5" s="25" t="n"/>
      <c r="G5" s="16" t="inlineStr">
        <is>
          <t>Sangeet + Reception</t>
        </is>
      </c>
      <c r="H5" s="14" t="inlineStr">
        <is>
          <t>11-Dec-2026</t>
        </is>
      </c>
      <c r="I5" s="28" t="n"/>
      <c r="J5" s="28" t="n"/>
      <c r="K5" s="17">
        <f>IF(I5="","",I5-IF(J5="",0,J5))</f>
        <v/>
      </c>
      <c r="L5" s="24" t="n"/>
      <c r="M5" s="21" t="n"/>
      <c r="N5" s="30" t="n"/>
      <c r="O5" s="14">
        <f>IF(I5="","Not Quoted",IF(K5&lt;=0,"Paid","Pending"))</f>
        <v/>
      </c>
      <c r="P5" s="25" t="n"/>
      <c r="Q5" s="25" t="n"/>
    </row>
    <row r="6">
      <c r="A6" s="20" t="inlineStr">
        <is>
          <t>Flower Decoration</t>
        </is>
      </c>
      <c r="B6" s="21" t="n"/>
      <c r="C6" s="22" t="n"/>
      <c r="D6" s="23" t="n"/>
      <c r="E6" s="24" t="n"/>
      <c r="F6" s="25" t="n"/>
      <c r="G6" s="26" t="inlineStr">
        <is>
          <t>All events</t>
        </is>
      </c>
      <c r="H6" s="27" t="n"/>
      <c r="I6" s="28" t="n"/>
      <c r="J6" s="28" t="n"/>
      <c r="K6" s="29">
        <f>IF(I6="","",I6-IF(J6="",0,J6))</f>
        <v/>
      </c>
      <c r="L6" s="24" t="n"/>
      <c r="M6" s="21" t="n"/>
      <c r="N6" s="30" t="n"/>
      <c r="O6" s="27">
        <f>IF(I6="","Not Quoted",IF(K6&lt;=0,"Paid","Pending"))</f>
        <v/>
      </c>
      <c r="P6" s="25" t="n"/>
      <c r="Q6" s="25" t="n"/>
    </row>
    <row r="7">
      <c r="A7" s="20" t="inlineStr">
        <is>
          <t>Photography</t>
        </is>
      </c>
      <c r="B7" s="21" t="n"/>
      <c r="C7" s="22" t="n"/>
      <c r="D7" s="23" t="n"/>
      <c r="E7" s="24" t="n"/>
      <c r="F7" s="25" t="n"/>
      <c r="G7" s="26" t="inlineStr">
        <is>
          <t>Wedding</t>
        </is>
      </c>
      <c r="H7" s="27" t="inlineStr">
        <is>
          <t>12-Dec-2026</t>
        </is>
      </c>
      <c r="I7" s="28" t="n"/>
      <c r="J7" s="28" t="n"/>
      <c r="K7" s="29">
        <f>IF(I7="","",I7-IF(J7="",0,J7))</f>
        <v/>
      </c>
      <c r="L7" s="24" t="n"/>
      <c r="M7" s="21" t="n"/>
      <c r="N7" s="30" t="n"/>
      <c r="O7" s="27">
        <f>IF(I7="","Not Quoted",IF(K7&lt;=0,"Paid","Pending"))</f>
        <v/>
      </c>
      <c r="P7" s="25" t="n"/>
      <c r="Q7" s="25" t="n"/>
    </row>
    <row r="8">
      <c r="A8" s="13" t="inlineStr">
        <is>
          <t>Videography</t>
        </is>
      </c>
      <c r="B8" s="21" t="n"/>
      <c r="C8" s="22" t="n"/>
      <c r="D8" s="23" t="n"/>
      <c r="E8" s="24" t="n"/>
      <c r="F8" s="25" t="n"/>
      <c r="G8" s="16" t="inlineStr">
        <is>
          <t>Wedding</t>
        </is>
      </c>
      <c r="H8" s="14" t="inlineStr">
        <is>
          <t>12-Dec-2026</t>
        </is>
      </c>
      <c r="I8" s="28" t="n"/>
      <c r="J8" s="28" t="n"/>
      <c r="K8" s="17">
        <f>IF(I8="","",I8-IF(J8="",0,J8))</f>
        <v/>
      </c>
      <c r="L8" s="24" t="n"/>
      <c r="M8" s="21" t="n"/>
      <c r="N8" s="30" t="n"/>
      <c r="O8" s="14">
        <f>IF(I8="","Not Quoted",IF(K8&lt;=0,"Paid","Pending"))</f>
        <v/>
      </c>
      <c r="P8" s="25" t="n"/>
      <c r="Q8" s="25" t="n"/>
    </row>
    <row r="9">
      <c r="A9" s="20" t="inlineStr">
        <is>
          <t>Catering (Food)</t>
        </is>
      </c>
      <c r="B9" s="21" t="n"/>
      <c r="C9" s="22" t="n"/>
      <c r="D9" s="23" t="n"/>
      <c r="E9" s="24" t="n"/>
      <c r="F9" s="25" t="n"/>
      <c r="G9" s="26" t="inlineStr">
        <is>
          <t>Sangeet, Reception, Brunch</t>
        </is>
      </c>
      <c r="H9" s="27" t="inlineStr">
        <is>
          <t>11-Dec-2026</t>
        </is>
      </c>
      <c r="I9" s="28" t="n"/>
      <c r="J9" s="28" t="n"/>
      <c r="K9" s="29">
        <f>IF(I9="","",I9-IF(J9="",0,J9))</f>
        <v/>
      </c>
      <c r="L9" s="24" t="n"/>
      <c r="M9" s="21" t="n"/>
      <c r="N9" s="30" t="n"/>
      <c r="O9" s="27">
        <f>IF(I9="","Not Quoted",IF(K9&lt;=0,"Paid","Pending"))</f>
        <v/>
      </c>
      <c r="P9" s="25" t="n"/>
      <c r="Q9" s="25" t="n"/>
    </row>
    <row r="10">
      <c r="A10" s="13" t="inlineStr">
        <is>
          <t>Pandit / Purohit</t>
        </is>
      </c>
      <c r="B10" s="21" t="n"/>
      <c r="C10" s="22" t="n"/>
      <c r="D10" s="23" t="n"/>
      <c r="E10" s="24" t="n"/>
      <c r="F10" s="25" t="n"/>
      <c r="G10" s="16" t="inlineStr">
        <is>
          <t>Wedding Ceremony</t>
        </is>
      </c>
      <c r="H10" s="14" t="inlineStr">
        <is>
          <t>12-Dec-2026</t>
        </is>
      </c>
      <c r="I10" s="28" t="n"/>
      <c r="J10" s="28" t="n"/>
      <c r="K10" s="17">
        <f>IF(I10="","",I10-IF(J10="",0,J10))</f>
        <v/>
      </c>
      <c r="L10" s="24" t="n"/>
      <c r="M10" s="21" t="n"/>
      <c r="N10" s="30" t="n"/>
      <c r="O10" s="14">
        <f>IF(I10="","Not Quoted",IF(K10&lt;=0,"Paid","Pending"))</f>
        <v/>
      </c>
      <c r="P10" s="25" t="n"/>
      <c r="Q10" s="25" t="n"/>
    </row>
    <row r="11">
      <c r="A11" s="20" t="inlineStr">
        <is>
          <t>Makeup &amp; Mehendi</t>
        </is>
      </c>
      <c r="B11" s="21" t="n"/>
      <c r="C11" s="22" t="n"/>
      <c r="D11" s="23" t="n"/>
      <c r="E11" s="24" t="n"/>
      <c r="F11" s="25" t="n"/>
      <c r="G11" s="26" t="inlineStr">
        <is>
          <t>Mehendi</t>
        </is>
      </c>
      <c r="H11" s="27" t="inlineStr">
        <is>
          <t>10-Dec-2026</t>
        </is>
      </c>
      <c r="I11" s="28" t="n"/>
      <c r="J11" s="28" t="n"/>
      <c r="K11" s="29">
        <f>IF(I11="","",I11-IF(J11="",0,J11))</f>
        <v/>
      </c>
      <c r="L11" s="24" t="n"/>
      <c r="M11" s="21" t="n"/>
      <c r="N11" s="30" t="n"/>
      <c r="O11" s="27">
        <f>IF(I11="","Not Quoted",IF(K11&lt;=0,"Paid","Pending"))</f>
        <v/>
      </c>
      <c r="P11" s="25" t="n"/>
      <c r="Q11" s="25" t="n"/>
    </row>
    <row r="12">
      <c r="A12" s="13" t="inlineStr">
        <is>
          <t>Stage &amp; Seating</t>
        </is>
      </c>
      <c r="B12" s="21" t="n"/>
      <c r="C12" s="22" t="n"/>
      <c r="D12" s="23" t="n"/>
      <c r="E12" s="24" t="n"/>
      <c r="F12" s="25" t="n"/>
      <c r="G12" s="16" t="inlineStr">
        <is>
          <t>Sangeet + Wedding</t>
        </is>
      </c>
      <c r="H12" s="14" t="inlineStr">
        <is>
          <t>11-Dec-2026</t>
        </is>
      </c>
      <c r="I12" s="28" t="n"/>
      <c r="J12" s="28" t="n"/>
      <c r="K12" s="17">
        <f>IF(I12="","",I12-IF(J12="",0,J12))</f>
        <v/>
      </c>
      <c r="L12" s="24" t="n"/>
      <c r="M12" s="21" t="n"/>
      <c r="N12" s="30" t="n"/>
      <c r="O12" s="14">
        <f>IF(I12="","Not Quoted",IF(K12&lt;=0,"Paid","Pending"))</f>
        <v/>
      </c>
      <c r="P12" s="25" t="n"/>
      <c r="Q12" s="25" t="n"/>
    </row>
    <row r="13">
      <c r="A13" s="20" t="inlineStr">
        <is>
          <t>Transport / Cars</t>
        </is>
      </c>
      <c r="B13" s="21" t="n"/>
      <c r="C13" s="22" t="n"/>
      <c r="D13" s="23" t="n"/>
      <c r="E13" s="24" t="n"/>
      <c r="F13" s="25" t="n"/>
      <c r="G13" s="26" t="inlineStr">
        <is>
          <t>Baraat</t>
        </is>
      </c>
      <c r="H13" s="27" t="inlineStr">
        <is>
          <t>12-Dec-2026</t>
        </is>
      </c>
      <c r="I13" s="28" t="n"/>
      <c r="J13" s="28" t="n"/>
      <c r="K13" s="29">
        <f>IF(I13="","",I13-IF(J13="",0,J13))</f>
        <v/>
      </c>
      <c r="L13" s="24" t="n"/>
      <c r="M13" s="21" t="n"/>
      <c r="N13" s="30" t="n"/>
      <c r="O13" s="27">
        <f>IF(I13="","Not Quoted",IF(K13&lt;=0,"Paid","Pending"))</f>
        <v/>
      </c>
      <c r="P13" s="25" t="n"/>
      <c r="Q13" s="25" t="n"/>
    </row>
    <row r="14">
      <c r="A14" s="13" t="inlineStr">
        <is>
          <t>Return Gifts / Favours</t>
        </is>
      </c>
      <c r="B14" s="21" t="n"/>
      <c r="C14" s="22" t="n"/>
      <c r="D14" s="23" t="n"/>
      <c r="E14" s="24" t="n"/>
      <c r="F14" s="25" t="n"/>
      <c r="G14" s="16" t="inlineStr">
        <is>
          <t>Reception</t>
        </is>
      </c>
      <c r="H14" s="14" t="inlineStr">
        <is>
          <t>12-Dec-2026</t>
        </is>
      </c>
      <c r="I14" s="28" t="n"/>
      <c r="J14" s="28" t="n"/>
      <c r="K14" s="17">
        <f>IF(I14="","",I14-IF(J14="",0,J14))</f>
        <v/>
      </c>
      <c r="L14" s="24" t="n"/>
      <c r="M14" s="21" t="n"/>
      <c r="N14" s="30" t="n"/>
      <c r="O14" s="14">
        <f>IF(I14="","Not Quoted",IF(K14&lt;=0,"Paid","Pending"))</f>
        <v/>
      </c>
      <c r="P14" s="25" t="n"/>
      <c r="Q14" s="25" t="n"/>
    </row>
    <row r="15">
      <c r="A15" s="20" t="inlineStr">
        <is>
          <t>Haldi &amp; Mehendi Items</t>
        </is>
      </c>
      <c r="B15" s="21" t="n"/>
      <c r="C15" s="22" t="n"/>
      <c r="D15" s="23" t="n"/>
      <c r="E15" s="24" t="n"/>
      <c r="F15" s="25" t="n"/>
      <c r="G15" s="26" t="inlineStr">
        <is>
          <t>Haldi</t>
        </is>
      </c>
      <c r="H15" s="27" t="inlineStr">
        <is>
          <t>11-Dec-2026</t>
        </is>
      </c>
      <c r="I15" s="28" t="n"/>
      <c r="J15" s="28" t="n"/>
      <c r="K15" s="29">
        <f>IF(I15="","",I15-IF(J15="",0,J15))</f>
        <v/>
      </c>
      <c r="L15" s="24" t="n"/>
      <c r="M15" s="21" t="n"/>
      <c r="N15" s="30" t="n"/>
      <c r="O15" s="27">
        <f>IF(I15="","Not Quoted",IF(K15&lt;=0,"Paid","Pending"))</f>
        <v/>
      </c>
      <c r="P15" s="25" t="n"/>
      <c r="Q15" s="25" t="n"/>
    </row>
    <row r="16">
      <c r="A16" s="13" t="inlineStr">
        <is>
          <t>Sangeet Anchoring / Choreography</t>
        </is>
      </c>
      <c r="B16" s="21" t="n"/>
      <c r="C16" s="22" t="n"/>
      <c r="D16" s="23" t="n"/>
      <c r="E16" s="24" t="n"/>
      <c r="F16" s="25" t="n"/>
      <c r="G16" s="16" t="inlineStr">
        <is>
          <t>Sangeet Night</t>
        </is>
      </c>
      <c r="H16" s="14" t="inlineStr">
        <is>
          <t>11-Dec-2026</t>
        </is>
      </c>
      <c r="I16" s="28" t="n"/>
      <c r="J16" s="28" t="n"/>
      <c r="K16" s="17">
        <f>IF(I16="","",I16-IF(J16="",0,J16))</f>
        <v/>
      </c>
      <c r="L16" s="24" t="n"/>
      <c r="M16" s="21" t="n"/>
      <c r="N16" s="30" t="n"/>
      <c r="O16" s="14">
        <f>IF(I16="","Not Quoted",IF(K16&lt;=0,"Paid","Pending"))</f>
        <v/>
      </c>
      <c r="P16" s="25" t="n"/>
      <c r="Q16" s="25" t="n"/>
    </row>
    <row r="17">
      <c r="A17" s="13" t="inlineStr">
        <is>
          <t>Other / Miscellaneous</t>
        </is>
      </c>
      <c r="B17" s="21" t="n"/>
      <c r="C17" s="22" t="n"/>
      <c r="D17" s="23" t="n"/>
      <c r="E17" s="24" t="n"/>
      <c r="F17" s="25" t="n"/>
      <c r="G17" s="16" t="n"/>
      <c r="H17" s="14" t="n"/>
      <c r="I17" s="28" t="n"/>
      <c r="J17" s="28" t="n"/>
      <c r="K17" s="17">
        <f>IF(I17="","",I17-IF(J17="",0,J17))</f>
        <v/>
      </c>
      <c r="L17" s="24" t="n"/>
      <c r="M17" s="21" t="n"/>
      <c r="N17" s="30" t="n"/>
      <c r="O17" s="14">
        <f>IF(I17="","Not Quoted",IF(K17&lt;=0,"Paid","Pending"))</f>
        <v/>
      </c>
      <c r="P17" s="25" t="n"/>
      <c r="Q17" s="25" t="n"/>
    </row>
    <row r="18" ht="75" customHeight="1" s="49">
      <c r="A18" s="38" t="inlineStr">
        <is>
          <t>Hotel - Nirmal's Executive</t>
        </is>
      </c>
      <c r="B18" s="21" t="inlineStr">
        <is>
          <t>Nirmal Reception</t>
        </is>
      </c>
      <c r="C18" s="39" t="inlineStr">
        <is>
          <t>+91 93091 74167</t>
        </is>
      </c>
      <c r="D18" s="57" t="inlineStr">
        <is>
          <t>‪+91 93091 74167‬</t>
        </is>
      </c>
      <c r="E18" s="24" t="n"/>
      <c r="F18" s="40" t="inlineStr">
        <is>
          <t>Sr No 40,2, Classic Gloria, near Angraj Dhaba, Yewalewadi, Sinhgad Kondwa, Danny Mehata Nagar, Kondhwa Budruk, Pune, Maharashtra 411048, India</t>
        </is>
      </c>
      <c r="G18" s="41" t="inlineStr">
        <is>
          <t>Accommodation 08-14 Dec</t>
        </is>
      </c>
      <c r="H18" s="16" t="n"/>
      <c r="I18" s="14" t="n">
        <v>84000</v>
      </c>
      <c r="J18" s="17" t="n">
        <v>25000</v>
      </c>
      <c r="K18" s="17">
        <f>IF(I18="","",I18-IF(J18="",0,J18))</f>
        <v/>
      </c>
      <c r="L18" s="17" t="n"/>
      <c r="M18" s="14" t="n"/>
      <c r="N18" s="14" t="n"/>
      <c r="O18" s="18">
        <f>IF(I18="","Not Quoted",IF(K18&lt;=0,"Paid","Pending"))</f>
        <v/>
      </c>
      <c r="P18" s="16" t="n"/>
      <c r="Q18" s="46" t="n"/>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2026-09-29T08:25:14Z</dcterms:modified>
  <cp:lastModifiedBy>Suraj Singh</cp:lastModifiedBy>
</cp:coreProperties>
</file>