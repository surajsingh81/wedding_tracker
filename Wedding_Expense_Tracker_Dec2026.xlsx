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xmlns:r="http://schemas.openxmlformats.org/officeDocument/2006/relationships" name="Nirmal" sheetId="1" state="visible" r:id="rId1"/>
    <sheet xmlns:r="http://schemas.openxmlformats.org/officeDocument/2006/relationships" name="Amarai" sheetId="2" state="visible" r:id="rId2"/>
    <sheet xmlns:r="http://schemas.openxmlformats.org/officeDocument/2006/relationships" name="Vendors" sheetId="3" state="visible" r:id="rId3"/>
    <sheet xmlns:r="http://schemas.openxmlformats.org/officeDocument/2006/relationships" name="Deeplaxmie Events" sheetId="4" state="visible" r:id="rId4"/>
    <sheet xmlns:r="http://schemas.openxmlformats.org/officeDocument/2006/relationships"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Relationships>
</file>

<file path=xl/worksheets/sheet1.xml><?xml version="1.0" encoding="utf-8"?>
<worksheet xmlns="http://schemas.openxmlformats.org/spreadsheetml/2006/main">
  <sheetPr>
    <outlinePr summaryBelow="1" summaryRight="1"/>
    <pageSetUpPr/>
  </sheetPr>
  <dimension ref="A1:I50"/>
  <sheetViews>
    <sheetView showGridLines="0" workbookViewId="0">
      <pane xSplit="2" ySplit="21" topLeftCell="C22" activePane="bottomRight" state="frozen"/>
      <selection pane="topRight" activeCell="A1" sqref="A1"/>
      <selection pane="bottomLeft" activeCell="A1" sqref="A1"/>
      <selection pane="bottomRight" activeCell="A32" sqref="A32:H32"/>
    </sheetView>
  </sheetViews>
  <sheetFormatPr baseColWidth="10" defaultColWidth="8.83203125" defaultRowHeight="15"/>
  <cols>
    <col width="12" customWidth="1" style="49" min="1" max="1"/>
    <col width="15" customWidth="1" style="49" min="2" max="7"/>
    <col width="34" customWidth="1" style="49" min="8" max="8"/>
    <col width="15" customWidth="1" style="49" min="9" max="12"/>
  </cols>
  <sheetData>
    <row r="1" ht="21" customHeight="1" s="49">
      <c r="A1" s="52" t="inlineStr">
        <is>
          <t>NIRMAL — ROOM PLAN BY NIGHT</t>
        </is>
      </c>
    </row>
    <row r="2">
      <c r="A2" s="51" t="inlineStr">
        <is>
          <t>Check-in 08-Dec-2026  |  Check-out 14-Dec-2026  |  10 rooms peak</t>
        </is>
      </c>
    </row>
    <row r="4">
      <c r="A4" s="48" t="inlineStr">
        <is>
          <t>BOOKING</t>
        </is>
      </c>
    </row>
    <row r="5">
      <c r="A5" s="3" t="inlineStr">
        <is>
          <t>Check-in</t>
        </is>
      </c>
      <c r="B5" s="4" t="inlineStr">
        <is>
          <t>08-Dec-2026</t>
        </is>
      </c>
    </row>
    <row r="6">
      <c r="A6" s="3" t="inlineStr">
        <is>
          <t>Check-out</t>
        </is>
      </c>
      <c r="B6" s="4" t="inlineStr">
        <is>
          <t>14-Dec-2026</t>
        </is>
      </c>
    </row>
    <row r="7">
      <c r="A7" s="3" t="inlineStr">
        <is>
          <t>Total rooms</t>
        </is>
      </c>
      <c r="B7" s="4" t="n">
        <v>10</v>
      </c>
    </row>
    <row r="8">
      <c r="A8" s="3" t="inlineStr">
        <is>
          <t>Total room-nights</t>
        </is>
      </c>
      <c r="B8" s="4" t="n">
        <v>37</v>
      </c>
    </row>
    <row r="10">
      <c r="A10" s="48" t="inlineStr">
        <is>
          <t>ROOMS NEEDED PER NIGHT</t>
        </is>
      </c>
    </row>
    <row r="11" ht="24" customHeight="1" s="49">
      <c r="A11" s="5" t="inlineStr">
        <is>
          <t>Date</t>
        </is>
      </c>
      <c r="B11" s="5" t="inlineStr">
        <is>
          <t>Rooms</t>
        </is>
      </c>
    </row>
    <row r="12">
      <c r="A12" s="4" t="inlineStr">
        <is>
          <t>08-Dec</t>
        </is>
      </c>
      <c r="B12" s="4" t="n">
        <v>2</v>
      </c>
    </row>
    <row r="13">
      <c r="A13" s="4" t="inlineStr">
        <is>
          <t>09-Dec</t>
        </is>
      </c>
      <c r="B13" s="4" t="n">
        <v>3</v>
      </c>
    </row>
    <row r="14">
      <c r="A14" s="6" t="inlineStr">
        <is>
          <t>10-Dec</t>
        </is>
      </c>
      <c r="B14" s="6" t="n">
        <v>10</v>
      </c>
    </row>
    <row r="15">
      <c r="A15" s="6" t="inlineStr">
        <is>
          <t>11-Dec</t>
        </is>
      </c>
      <c r="B15" s="6" t="n">
        <v>10</v>
      </c>
    </row>
    <row r="16">
      <c r="A16" s="6" t="inlineStr">
        <is>
          <t>12-Dec</t>
        </is>
      </c>
      <c r="B16" s="6" t="n">
        <v>10</v>
      </c>
    </row>
    <row r="17">
      <c r="A17" s="4" t="inlineStr">
        <is>
          <t>13-Dec</t>
        </is>
      </c>
      <c r="B17" s="4" t="n">
        <v>2</v>
      </c>
    </row>
    <row r="18">
      <c r="A18" s="7" t="inlineStr">
        <is>
          <t>TOTAL</t>
        </is>
      </c>
      <c r="B18" s="7">
        <f>SUM(B12:B17)</f>
        <v/>
      </c>
    </row>
    <row r="20">
      <c r="A20" s="48" t="inlineStr">
        <is>
          <t>ROOM ALLOCATION GRID</t>
        </is>
      </c>
    </row>
    <row r="21" ht="24" customHeight="1" s="49">
      <c r="A21" s="56" t="inlineStr">
        <is>
          <t>Room</t>
        </is>
      </c>
      <c r="B21" s="54" t="n"/>
      <c r="C21" s="5" t="inlineStr">
        <is>
          <t>08-Dec-2026</t>
        </is>
      </c>
      <c r="D21" s="5" t="inlineStr">
        <is>
          <t>09-Dec-2026</t>
        </is>
      </c>
      <c r="E21" s="5" t="inlineStr">
        <is>
          <t>10-Dec-2026</t>
        </is>
      </c>
      <c r="F21" s="5" t="inlineStr">
        <is>
          <t>11-Dec-2026</t>
        </is>
      </c>
      <c r="G21" s="5" t="inlineStr">
        <is>
          <t>12-Dec-2026</t>
        </is>
      </c>
      <c r="H21" s="5" t="inlineStr">
        <is>
          <t>13-Dec-2026</t>
        </is>
      </c>
      <c r="I21" s="8" t="inlineStr">
        <is>
          <t>Notes</t>
        </is>
      </c>
    </row>
    <row r="22">
      <c r="A22" s="53" t="inlineStr">
        <is>
          <t>Room 1 - Guest 1</t>
        </is>
      </c>
      <c r="B22" s="54" t="n"/>
      <c r="C22" s="9" t="n"/>
      <c r="D22" s="9" t="n"/>
      <c r="E22" s="9" t="n"/>
      <c r="F22" s="9" t="n"/>
      <c r="G22" s="9" t="n"/>
      <c r="H22" s="9" t="n"/>
      <c r="I22" s="10" t="n"/>
    </row>
    <row r="23">
      <c r="A23" s="53" t="inlineStr">
        <is>
          <t>Room 2 - Guest 1</t>
        </is>
      </c>
      <c r="B23" s="54" t="n"/>
      <c r="C23" s="9" t="n"/>
      <c r="D23" s="9" t="n"/>
      <c r="E23" s="9" t="n"/>
      <c r="F23" s="9" t="n"/>
      <c r="G23" s="9" t="n"/>
      <c r="H23" s="9" t="n"/>
      <c r="I23" s="10" t="n"/>
    </row>
    <row r="24">
      <c r="A24" s="53" t="inlineStr">
        <is>
          <t>Room 3 - Guest 1</t>
        </is>
      </c>
      <c r="B24" s="54" t="n"/>
      <c r="C24" s="9" t="n"/>
      <c r="D24" s="9" t="n"/>
      <c r="E24" s="9" t="n"/>
      <c r="F24" s="9" t="n"/>
      <c r="G24" s="9" t="n"/>
      <c r="H24" s="9" t="n"/>
      <c r="I24" s="10" t="n"/>
    </row>
    <row r="25">
      <c r="A25" s="53" t="inlineStr">
        <is>
          <t>Room 4 - Guest 1</t>
        </is>
      </c>
      <c r="B25" s="54" t="n"/>
      <c r="C25" s="9" t="n"/>
      <c r="D25" s="9" t="n"/>
      <c r="E25" s="9" t="n"/>
      <c r="F25" s="9" t="n"/>
      <c r="G25" s="9" t="n"/>
      <c r="H25" s="9" t="n"/>
      <c r="I25" s="10" t="n"/>
    </row>
    <row r="26">
      <c r="A26" s="53" t="inlineStr">
        <is>
          <t>Room 5 - Guest 1</t>
        </is>
      </c>
      <c r="B26" s="54" t="n"/>
      <c r="C26" s="9" t="n"/>
      <c r="D26" s="9" t="n"/>
      <c r="E26" s="9" t="n"/>
      <c r="F26" s="9" t="n"/>
      <c r="G26" s="9" t="n"/>
      <c r="H26" s="9" t="n"/>
      <c r="I26" s="10" t="n"/>
    </row>
    <row r="27">
      <c r="A27" s="53" t="inlineStr">
        <is>
          <t>Room 6 - Guest 1</t>
        </is>
      </c>
      <c r="B27" s="54" t="n"/>
      <c r="C27" s="9" t="n"/>
      <c r="D27" s="9" t="n"/>
      <c r="E27" s="9" t="n"/>
      <c r="F27" s="9" t="n"/>
      <c r="G27" s="9" t="n"/>
      <c r="H27" s="9" t="n"/>
      <c r="I27" s="10" t="n"/>
    </row>
    <row r="28">
      <c r="A28" s="53" t="inlineStr">
        <is>
          <t>Room 7 - Guest 1</t>
        </is>
      </c>
      <c r="B28" s="54" t="n"/>
      <c r="C28" s="9" t="n"/>
      <c r="D28" s="9" t="n"/>
      <c r="E28" s="9" t="n"/>
      <c r="F28" s="9" t="n"/>
      <c r="G28" s="9" t="n"/>
      <c r="H28" s="9" t="n"/>
      <c r="I28" s="10" t="n"/>
    </row>
    <row r="29">
      <c r="A29" s="53" t="inlineStr">
        <is>
          <t>Room 8 - Guest 1</t>
        </is>
      </c>
      <c r="B29" s="54" t="n"/>
      <c r="C29" s="9" t="n"/>
      <c r="D29" s="9" t="n"/>
      <c r="E29" s="9" t="n"/>
      <c r="F29" s="9" t="n"/>
      <c r="G29" s="9" t="n"/>
      <c r="H29" s="9" t="n"/>
      <c r="I29" s="10" t="n"/>
    </row>
    <row r="30">
      <c r="A30" s="53" t="inlineStr">
        <is>
          <t>Room 9 - Guest 1</t>
        </is>
      </c>
      <c r="B30" s="54" t="n"/>
      <c r="C30" s="9" t="n"/>
      <c r="D30" s="9" t="n"/>
      <c r="E30" s="9" t="n"/>
      <c r="F30" s="9" t="n"/>
      <c r="G30" s="9" t="n"/>
      <c r="H30" s="9" t="n"/>
      <c r="I30" s="10" t="n"/>
    </row>
    <row r="31">
      <c r="A31" s="53" t="inlineStr">
        <is>
          <t>Room 10 - Guest 1</t>
        </is>
      </c>
      <c r="B31" s="54" t="n"/>
      <c r="C31" s="9" t="n"/>
      <c r="D31" s="9" t="n"/>
      <c r="E31" s="9" t="n"/>
      <c r="F31" s="9" t="n"/>
      <c r="G31" s="9" t="n"/>
      <c r="H31" s="9" t="n"/>
      <c r="I31" s="10" t="n"/>
    </row>
    <row r="32">
      <c r="A32" s="48" t="inlineStr">
        <is>
          <t>SECOND GUEST PER ROOM  -  only fill this block if two people share the room. FILLED counts occupied ROOMS, not guest names.</t>
        </is>
      </c>
    </row>
    <row r="33">
      <c r="A33" s="53" t="inlineStr">
        <is>
          <t>Room 1 - Guest 2</t>
        </is>
      </c>
      <c r="B33" s="54" t="n"/>
      <c r="C33" s="9" t="n"/>
      <c r="D33" s="9" t="n"/>
      <c r="E33" s="9" t="n"/>
      <c r="F33" s="9" t="n"/>
      <c r="G33" s="9" t="n"/>
      <c r="H33" s="9" t="n"/>
    </row>
    <row r="34">
      <c r="A34" s="53" t="inlineStr">
        <is>
          <t>Room 2 - Guest 2</t>
        </is>
      </c>
      <c r="B34" s="54" t="n"/>
      <c r="C34" s="9" t="n"/>
      <c r="D34" s="9" t="n"/>
      <c r="E34" s="9" t="n"/>
      <c r="F34" s="9" t="n"/>
      <c r="G34" s="9" t="n"/>
      <c r="H34" s="9" t="n"/>
    </row>
    <row r="35">
      <c r="A35" s="53" t="inlineStr">
        <is>
          <t>Room 3 - Guest 2</t>
        </is>
      </c>
      <c r="B35" s="54" t="n"/>
      <c r="C35" s="9" t="n"/>
      <c r="D35" s="9" t="n"/>
      <c r="E35" s="9" t="n"/>
      <c r="F35" s="9" t="n"/>
      <c r="G35" s="9" t="n"/>
      <c r="H35" s="9" t="n"/>
    </row>
    <row r="36" ht="24" customHeight="1" s="49">
      <c r="A36" s="53" t="inlineStr">
        <is>
          <t>Room 4 - Guest 2</t>
        </is>
      </c>
      <c r="B36" s="54" t="n"/>
      <c r="C36" s="9" t="n"/>
      <c r="D36" s="9" t="n"/>
      <c r="E36" s="9" t="n"/>
      <c r="F36" s="9" t="n"/>
      <c r="G36" s="9" t="n"/>
      <c r="H36" s="9" t="n"/>
    </row>
    <row r="37" ht="24" customHeight="1" s="49">
      <c r="A37" s="53" t="inlineStr">
        <is>
          <t>Room 5 - Guest 2</t>
        </is>
      </c>
      <c r="B37" s="54" t="n"/>
      <c r="C37" s="9" t="n"/>
      <c r="D37" s="9" t="n"/>
      <c r="E37" s="9" t="n"/>
      <c r="F37" s="9" t="n"/>
      <c r="G37" s="9" t="n"/>
      <c r="H37" s="9" t="n"/>
    </row>
    <row r="38" ht="24" customHeight="1" s="49">
      <c r="A38" s="53" t="inlineStr">
        <is>
          <t>Room 6 - Guest 2</t>
        </is>
      </c>
      <c r="B38" s="54" t="n"/>
      <c r="C38" s="9" t="n"/>
      <c r="D38" s="9" t="n"/>
      <c r="E38" s="9" t="n"/>
      <c r="F38" s="9" t="n"/>
      <c r="G38" s="9" t="n"/>
      <c r="H38" s="9" t="n"/>
    </row>
    <row r="39" ht="24" customHeight="1" s="49">
      <c r="A39" s="53" t="inlineStr">
        <is>
          <t>Room 7 - Guest 2</t>
        </is>
      </c>
      <c r="B39" s="54" t="n"/>
      <c r="C39" s="9" t="n"/>
      <c r="D39" s="9" t="n"/>
      <c r="E39" s="9" t="n"/>
      <c r="F39" s="9" t="n"/>
      <c r="G39" s="9" t="n"/>
      <c r="H39" s="9" t="n"/>
    </row>
    <row r="40">
      <c r="A40" s="53" t="inlineStr">
        <is>
          <t>Room 8 - Guest 2</t>
        </is>
      </c>
      <c r="B40" s="54" t="n"/>
      <c r="C40" s="9" t="n"/>
      <c r="D40" s="9" t="n"/>
      <c r="E40" s="9" t="n"/>
      <c r="F40" s="9" t="n"/>
      <c r="G40" s="9" t="n"/>
      <c r="H40" s="9" t="n"/>
    </row>
    <row r="41">
      <c r="A41" s="53" t="inlineStr">
        <is>
          <t>Room 9 - Guest 2</t>
        </is>
      </c>
      <c r="B41" s="54" t="n"/>
      <c r="C41" s="9" t="n"/>
      <c r="D41" s="9" t="n"/>
      <c r="E41" s="9" t="n"/>
      <c r="F41" s="9" t="n"/>
      <c r="G41" s="9" t="n"/>
      <c r="H41" s="9" t="n"/>
    </row>
    <row r="42">
      <c r="A42" s="53" t="inlineStr">
        <is>
          <t>Room 10 - Guest 2</t>
        </is>
      </c>
      <c r="B42" s="54" t="n"/>
      <c r="C42" s="9" t="n"/>
      <c r="D42" s="9" t="n"/>
      <c r="E42" s="9" t="n"/>
      <c r="F42" s="9" t="n"/>
      <c r="G42" s="9" t="n"/>
      <c r="H42" s="9" t="n"/>
    </row>
    <row r="43">
      <c r="A43" s="55" t="inlineStr">
        <is>
          <t>FILLED</t>
        </is>
      </c>
      <c r="B43" s="54" t="n"/>
      <c r="C43" s="11">
        <f>SUMPRODUCT(--(((C22:C31&lt;&gt;"")+(C33:C42&lt;&gt;""))&gt;0))</f>
        <v/>
      </c>
      <c r="D43" s="11">
        <f>SUMPRODUCT(--(((D22:D31&lt;&gt;"")+(D33:D42&lt;&gt;""))&gt;0))</f>
        <v/>
      </c>
      <c r="E43" s="11">
        <f>SUMPRODUCT(--(((E22:E31&lt;&gt;"")+(E33:E42&lt;&gt;""))&gt;0))</f>
        <v/>
      </c>
      <c r="F43" s="11">
        <f>SUMPRODUCT(--(((F22:F31&lt;&gt;"")+(F33:F42&lt;&gt;""))&gt;0))</f>
        <v/>
      </c>
      <c r="G43" s="11">
        <f>SUMPRODUCT(--(((G22:G31&lt;&gt;"")+(G33:G42&lt;&gt;""))&gt;0))</f>
        <v/>
      </c>
      <c r="H43" s="11">
        <f>SUMPRODUCT(--(((H22:H31&lt;&gt;"")+(H33:H42&lt;&gt;""))&gt;0))</f>
        <v/>
      </c>
    </row>
    <row r="44">
      <c r="A44" s="55" t="inlineStr">
        <is>
          <t>NEEDED</t>
        </is>
      </c>
      <c r="B44" s="54" t="n"/>
      <c r="C44" s="11" t="n">
        <v>2</v>
      </c>
      <c r="D44" s="11" t="n">
        <v>3</v>
      </c>
      <c r="E44" s="11" t="n">
        <v>10</v>
      </c>
      <c r="F44" s="11" t="n">
        <v>10</v>
      </c>
      <c r="G44" s="11" t="n">
        <v>10</v>
      </c>
      <c r="H44" s="11" t="n">
        <v>2</v>
      </c>
    </row>
    <row r="45">
      <c r="A45" s="55" t="inlineStr">
        <is>
          <t>STATUS</t>
        </is>
      </c>
      <c r="B45" s="54" t="n"/>
      <c r="C45" s="4">
        <f>IF(C43=C44,"OK",IF(C43&lt;C44,"need "&amp;(C44-C43)&amp;" more","extra "&amp;(C43-C44)))</f>
        <v/>
      </c>
      <c r="D45" s="4">
        <f>IF(D43=D44,"OK",IF(D43&lt;D44,"need "&amp;(D44-D43)&amp;" more","extra "&amp;(D43-D44)))</f>
        <v/>
      </c>
      <c r="E45" s="4">
        <f>IF(E43=E44,"OK",IF(E43&lt;E44,"need "&amp;(E44-E43)&amp;" more","extra "&amp;(E43-E44)))</f>
        <v/>
      </c>
      <c r="F45" s="4">
        <f>IF(F43=F44,"OK",IF(F43&lt;F44,"need "&amp;(F44-F43)&amp;" more","extra "&amp;(F43-F44)))</f>
        <v/>
      </c>
      <c r="G45" s="4">
        <f>IF(G43=G44,"OK",IF(G43&lt;G44,"need "&amp;(G44-G43)&amp;" more","extra "&amp;(G43-G44)))</f>
        <v/>
      </c>
      <c r="H45" s="4">
        <f>IF(H43=H44,"OK",IF(H43&lt;H44,"need "&amp;(H44-H43)&amp;" more","extra "&amp;(H43-H44)))</f>
        <v/>
      </c>
    </row>
    <row r="47">
      <c r="A47"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8">
      <c r="A48" s="50" t="inlineStr">
        <is>
          <t>Give this grid to the front desk on arrival. Hand out room keys against the names you typed.</t>
        </is>
      </c>
    </row>
    <row r="49">
      <c r="A49" s="50" t="inlineStr">
        <is>
          <t>Two guests in one room?  Put the first name in the 'Guest 1' row and the second in the 'Guest 2' row for that same night. Both rows belong to the same room, so it still counts as one room against NEEDED.</t>
        </is>
      </c>
    </row>
    <row r="50">
      <c r="A50" s="50" t="inlineStr">
        <is>
          <t>Check-out is 14-Dec-2026. 13-Dec is the last night and only 2 rooms are needed, so release the other 8 rooms after checkout on 13-Dec.</t>
        </is>
      </c>
    </row>
  </sheetData>
  <mergeCells count="32">
    <mergeCell ref="A48:H48"/>
    <mergeCell ref="A24:B24"/>
    <mergeCell ref="A30:B30"/>
    <mergeCell ref="A45:B45"/>
    <mergeCell ref="A36:B36"/>
    <mergeCell ref="A49:H49"/>
    <mergeCell ref="A25:B25"/>
    <mergeCell ref="A41:B41"/>
    <mergeCell ref="A37:B37"/>
    <mergeCell ref="A27:B27"/>
    <mergeCell ref="A50:H50"/>
    <mergeCell ref="A26:B26"/>
    <mergeCell ref="A21:B21"/>
    <mergeCell ref="A33:B33"/>
    <mergeCell ref="A42:B42"/>
    <mergeCell ref="A47:H47"/>
    <mergeCell ref="A23:B23"/>
    <mergeCell ref="A32:H32"/>
    <mergeCell ref="A22:B22"/>
    <mergeCell ref="A35:B35"/>
    <mergeCell ref="A4:H4"/>
    <mergeCell ref="A38:B38"/>
    <mergeCell ref="A29:B29"/>
    <mergeCell ref="A43:B43"/>
    <mergeCell ref="A20:H20"/>
    <mergeCell ref="A10:H10"/>
    <mergeCell ref="A28:B28"/>
    <mergeCell ref="A44:B44"/>
    <mergeCell ref="A40:B40"/>
    <mergeCell ref="A31:B31"/>
    <mergeCell ref="A39:B39"/>
    <mergeCell ref="A34:B34"/>
  </mergeCells>
  <conditionalFormatting sqref="C45:H45">
    <cfRule type="cellIs" priority="1" operator="equal" dxfId="2">
      <formula>"OK"</formula>
    </cfRule>
    <cfRule type="expression" priority="2" dxfId="0">
      <formula>ISNUMBER(SEARCH("need",C34))</formula>
    </cfRule>
    <cfRule type="expression" priority="3" dxfId="1">
      <formula>ISNUMBER(SEARCH("over",C34))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showGridLines="0" workbookViewId="0">
      <pane xSplit="2" ySplit="21" topLeftCell="C22" activePane="bottomRight" state="frozen"/>
      <selection pane="topRight" activeCell="A1" sqref="A1"/>
      <selection pane="bottomLeft" activeCell="A1" sqref="A1"/>
      <selection pane="bottomRight" activeCell="C22" sqref="C22"/>
    </sheetView>
  </sheetViews>
  <sheetFormatPr baseColWidth="10" defaultColWidth="8.83203125" defaultRowHeight="15"/>
  <cols>
    <col width="12" customWidth="1" style="49" min="1" max="1"/>
    <col width="15" customWidth="1" style="49" min="2" max="5"/>
    <col width="34" customWidth="1" style="49" min="6" max="6"/>
    <col width="15" customWidth="1" style="49" min="7" max="12"/>
  </cols>
  <sheetData>
    <row r="1" ht="21" customHeight="1" s="49">
      <c r="A1" s="52" t="inlineStr">
        <is>
          <t>AMARAI — ROOM PLAN BY NIGHT</t>
        </is>
      </c>
    </row>
    <row r="2">
      <c r="A2" s="51" t="inlineStr">
        <is>
          <t>Check-in 08-Dec-2026  |  Check-out 12-Dec-2026 at 12:30 PM  |  7 rooms peak</t>
        </is>
      </c>
    </row>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Total rooms</t>
        </is>
      </c>
      <c r="B8" s="4" t="n">
        <v>7</v>
      </c>
    </row>
    <row r="9">
      <c r="A9" s="3" t="inlineStr">
        <is>
          <t>Total room-nights</t>
        </is>
      </c>
      <c r="B9" s="4" t="n">
        <v>23</v>
      </c>
    </row>
    <row r="11">
      <c r="A11" s="48" t="inlineStr">
        <is>
          <t>ROOMS NEEDED PER NIGHT</t>
        </is>
      </c>
    </row>
    <row r="12" ht="24" customHeight="1" s="49">
      <c r="A12" s="5" t="inlineStr">
        <is>
          <t>Date</t>
        </is>
      </c>
      <c r="B12" s="5" t="inlineStr">
        <is>
          <t>Rooms</t>
        </is>
      </c>
    </row>
    <row r="13">
      <c r="A13" t="inlineStr">
        <is>
          <t>08-Dec</t>
        </is>
      </c>
      <c r="B13" t="n">
        <v>2</v>
      </c>
    </row>
    <row r="14">
      <c r="A14" s="6" t="inlineStr">
        <is>
          <t>09-Dec</t>
        </is>
      </c>
      <c r="B14" s="6" t="n">
        <v>7</v>
      </c>
    </row>
    <row r="15">
      <c r="A15" s="6" t="inlineStr">
        <is>
          <t>10-Dec</t>
        </is>
      </c>
      <c r="B15" s="6" t="n">
        <v>7</v>
      </c>
    </row>
    <row r="16">
      <c r="A16" s="6" t="inlineStr">
        <is>
          <t>11-Dec</t>
        </is>
      </c>
      <c r="B16" s="6" t="n">
        <v>7</v>
      </c>
    </row>
    <row r="17">
      <c r="A17" s="4" t="inlineStr">
        <is>
          <t>12-Dec</t>
        </is>
      </c>
      <c r="B17" s="4" t="n">
        <v>0</v>
      </c>
    </row>
    <row r="18">
      <c r="A18" s="7" t="inlineStr">
        <is>
          <t>TOTAL</t>
        </is>
      </c>
      <c r="B18" s="7">
        <f>SUM(B13:B17)</f>
        <v/>
      </c>
    </row>
    <row r="20" ht="24" customHeight="1" s="49">
      <c r="A20" s="48" t="inlineStr">
        <is>
          <t>ROOM ALLOCATION GRID</t>
        </is>
      </c>
    </row>
    <row r="21">
      <c r="A21" s="56" t="inlineStr">
        <is>
          <t>Room</t>
        </is>
      </c>
      <c r="B21" s="54" t="n"/>
      <c r="C21" s="5" t="inlineStr">
        <is>
          <t>08-Dec-2026</t>
        </is>
      </c>
      <c r="D21" s="5" t="inlineStr">
        <is>
          <t>09-Dec-2026</t>
        </is>
      </c>
      <c r="E21" s="5" t="inlineStr">
        <is>
          <t>10-Dec-2026</t>
        </is>
      </c>
      <c r="F21" s="5" t="inlineStr">
        <is>
          <t>11-Dec-2026</t>
        </is>
      </c>
      <c r="G21" s="5" t="inlineStr">
        <is>
          <t>12-Dec-2026</t>
        </is>
      </c>
      <c r="H21" s="8" t="inlineStr">
        <is>
          <t>Notes</t>
        </is>
      </c>
    </row>
    <row r="22">
      <c r="A22" s="53" t="inlineStr">
        <is>
          <t>Room 1 - Guest 1</t>
        </is>
      </c>
      <c r="B22" s="54" t="n"/>
      <c r="C22" s="9" t="n"/>
      <c r="D22" s="9" t="n"/>
      <c r="E22" s="9" t="n"/>
      <c r="F22" s="9" t="n"/>
      <c r="G22" s="9" t="n"/>
      <c r="H22" s="10" t="n"/>
    </row>
    <row r="23">
      <c r="A23" s="53" t="inlineStr">
        <is>
          <t>Room 2 - Guest 1</t>
        </is>
      </c>
      <c r="B23" s="54" t="n"/>
      <c r="C23" s="9" t="n"/>
      <c r="D23" s="9" t="n"/>
      <c r="E23" s="9" t="n"/>
      <c r="F23" s="9" t="n"/>
      <c r="G23" s="9" t="n"/>
      <c r="H23" s="10" t="n"/>
    </row>
    <row r="24">
      <c r="A24" s="53" t="inlineStr">
        <is>
          <t>Room 3 - Guest 1</t>
        </is>
      </c>
      <c r="B24" s="54" t="n"/>
      <c r="C24" s="9" t="n"/>
      <c r="D24" s="9" t="n"/>
      <c r="E24" s="9" t="n"/>
      <c r="F24" s="9" t="n"/>
      <c r="G24" s="9" t="n"/>
      <c r="H24" s="10" t="n"/>
    </row>
    <row r="25">
      <c r="A25" s="53" t="inlineStr">
        <is>
          <t>Room 4 - Guest 1</t>
        </is>
      </c>
      <c r="B25" s="54" t="n"/>
      <c r="C25" s="9" t="n"/>
      <c r="D25" s="9" t="n"/>
      <c r="E25" s="9" t="n"/>
      <c r="F25" s="9" t="n"/>
      <c r="G25" s="9" t="n"/>
      <c r="H25" s="10" t="n"/>
    </row>
    <row r="26">
      <c r="A26" s="53" t="inlineStr">
        <is>
          <t>Room 5 - Guest 1</t>
        </is>
      </c>
      <c r="B26" s="54" t="n"/>
      <c r="C26" s="9" t="n"/>
      <c r="D26" s="9" t="n"/>
      <c r="E26" s="9" t="n"/>
      <c r="F26" s="9" t="n"/>
      <c r="G26" s="9" t="n"/>
      <c r="H26" s="10" t="n"/>
    </row>
    <row r="27">
      <c r="A27" s="53" t="inlineStr">
        <is>
          <t>Room 6 - Guest 1</t>
        </is>
      </c>
      <c r="B27" s="54" t="n"/>
      <c r="C27" s="9" t="n"/>
      <c r="D27" s="9" t="n"/>
      <c r="E27" s="9" t="n"/>
      <c r="F27" s="9" t="n"/>
      <c r="G27" s="9" t="n"/>
      <c r="H27" s="10" t="n"/>
    </row>
    <row r="28">
      <c r="A28" s="53" t="inlineStr">
        <is>
          <t>Room 7 - Guest 1</t>
        </is>
      </c>
      <c r="B28" s="54" t="n"/>
      <c r="C28" s="9" t="n"/>
      <c r="D28" s="9" t="n"/>
      <c r="E28" s="9" t="n"/>
      <c r="F28" s="9" t="n"/>
      <c r="G28" s="9" t="n"/>
      <c r="H28" s="10" t="n"/>
    </row>
    <row r="29">
      <c r="A29" s="48" t="inlineStr">
        <is>
          <t>SECOND GUEST PER ROOM  -  only fill this block if two people share the room. FILLED counts occupied ROOMS, not guest names.</t>
        </is>
      </c>
    </row>
    <row r="30">
      <c r="A30" s="53" t="inlineStr">
        <is>
          <t>Room 1 - Guest 2</t>
        </is>
      </c>
      <c r="B30" s="54" t="n"/>
      <c r="C30" s="9" t="n"/>
      <c r="D30" s="9" t="n"/>
      <c r="E30" s="9" t="n"/>
      <c r="F30" s="9" t="n"/>
      <c r="G30" s="9" t="n"/>
    </row>
    <row r="31">
      <c r="A31" s="53" t="inlineStr">
        <is>
          <t>Room 2 - Guest 2</t>
        </is>
      </c>
      <c r="B31" s="54" t="n"/>
      <c r="C31" s="9" t="n"/>
      <c r="D31" s="9" t="n"/>
      <c r="E31" s="9" t="n"/>
      <c r="F31" s="9" t="n"/>
      <c r="G31" s="9" t="n"/>
    </row>
    <row r="32" ht="24" customHeight="1" s="49">
      <c r="A32" s="53" t="inlineStr">
        <is>
          <t>Room 3 - Guest 2</t>
        </is>
      </c>
      <c r="B32" s="54" t="n"/>
      <c r="C32" s="9" t="n"/>
      <c r="D32" s="9" t="n"/>
      <c r="E32" s="9" t="n"/>
      <c r="F32" s="9" t="n"/>
      <c r="G32" s="9" t="n"/>
    </row>
    <row r="33" ht="24" customHeight="1" s="49">
      <c r="A33" s="53" t="inlineStr">
        <is>
          <t>Room 4 - Guest 2</t>
        </is>
      </c>
      <c r="B33" s="54" t="n"/>
      <c r="C33" s="9" t="n"/>
      <c r="D33" s="9" t="n"/>
      <c r="E33" s="9" t="n"/>
      <c r="F33" s="9" t="n"/>
      <c r="G33" s="9" t="n"/>
    </row>
    <row r="34" ht="24" customHeight="1" s="49">
      <c r="A34" s="53" t="inlineStr">
        <is>
          <t>Room 5 - Guest 2</t>
        </is>
      </c>
      <c r="B34" s="54" t="n"/>
      <c r="C34" s="9" t="n"/>
      <c r="D34" s="9" t="n"/>
      <c r="E34" s="9" t="n"/>
      <c r="F34" s="9" t="n"/>
      <c r="G34" s="9" t="n"/>
    </row>
    <row r="35" ht="24" customHeight="1" s="49">
      <c r="A35" s="53" t="inlineStr">
        <is>
          <t>Room 6 - Guest 2</t>
        </is>
      </c>
      <c r="B35" s="54" t="n"/>
      <c r="C35" s="9" t="n"/>
      <c r="D35" s="9" t="n"/>
      <c r="E35" s="9" t="n"/>
      <c r="F35" s="9" t="n"/>
      <c r="G35" s="9" t="n"/>
    </row>
    <row r="36" ht="24" customHeight="1" s="49">
      <c r="A36" s="53" t="inlineStr">
        <is>
          <t>Room 7 - Guest 2</t>
        </is>
      </c>
      <c r="B36" s="54" t="n"/>
      <c r="C36" s="9" t="n"/>
      <c r="D36" s="9" t="n"/>
      <c r="E36" s="9" t="n"/>
      <c r="F36" s="9" t="n"/>
      <c r="G36" s="9" t="n"/>
    </row>
    <row r="37">
      <c r="A37" s="55" t="inlineStr">
        <is>
          <t>FILLED</t>
        </is>
      </c>
      <c r="B37" s="54" t="n"/>
      <c r="C37" s="9">
        <f>SUMPRODUCT(--(((C22:C28&lt;&gt;"")+(C30:C36&lt;&gt;""))&gt;0))</f>
        <v/>
      </c>
      <c r="D37" s="11">
        <f>SUMPRODUCT(--(((D22:D28&lt;&gt;"")+(D30:D36&lt;&gt;""))&gt;0))</f>
        <v/>
      </c>
      <c r="E37" s="11">
        <f>SUMPRODUCT(--(((E22:E28&lt;&gt;"")+(E30:E36&lt;&gt;""))&gt;0))</f>
        <v/>
      </c>
      <c r="F37" s="11">
        <f>SUMPRODUCT(--(((F22:F28&lt;&gt;"")+(F30:F36&lt;&gt;""))&gt;0))</f>
        <v/>
      </c>
      <c r="G37" s="11">
        <f>SUMPRODUCT(--(((G22:G28&lt;&gt;"")+(G30:G36&lt;&gt;""))&gt;0))</f>
        <v/>
      </c>
    </row>
    <row r="38">
      <c r="A38" s="55" t="inlineStr">
        <is>
          <t>NEEDED</t>
        </is>
      </c>
      <c r="B38" s="54" t="n"/>
      <c r="C38" s="9" t="n">
        <v>2</v>
      </c>
      <c r="D38" s="11" t="n">
        <v>7</v>
      </c>
      <c r="E38" s="11" t="n">
        <v>7</v>
      </c>
      <c r="F38" s="11" t="n">
        <v>7</v>
      </c>
      <c r="G38" s="11" t="n">
        <v>0</v>
      </c>
    </row>
    <row r="39">
      <c r="A39" s="55" t="inlineStr">
        <is>
          <t>STATUS</t>
        </is>
      </c>
      <c r="B39" s="54" t="n"/>
      <c r="C39" s="9">
        <f>IF(C37=C38,"OK",IF(C37&lt;C38,"need "&amp;(C38-C37)&amp;" more","extra "&amp;(C37-C38)))</f>
        <v/>
      </c>
      <c r="D39" s="4">
        <f>IF(D37=D38,"OK",IF(D37&lt;D38,"need "&amp;(D38-D37)&amp;" more","extra "&amp;(D37-D38)))</f>
        <v/>
      </c>
      <c r="E39" s="4">
        <f>IF(E37=E38,"OK",IF(E37&lt;E38,"need "&amp;(E38-E37)&amp;" more","extra "&amp;(E37-E38)))</f>
        <v/>
      </c>
      <c r="F39" s="4">
        <f>IF(F37=F38,"OK",IF(F37&lt;F38,"need "&amp;(F38-F37)&amp;" more","extra "&amp;(F37-F38)))</f>
        <v/>
      </c>
      <c r="G39" s="4">
        <f>IF(G37=G38,"OK",IF(G37&lt;G38,"need "&amp;(G38-G37)&amp;" more","extra "&amp;(G37-G38)))</f>
        <v/>
      </c>
    </row>
    <row r="41">
      <c r="A4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2">
      <c r="A42" s="50" t="inlineStr">
        <is>
          <t>Give this grid to the front desk on arrival. Hand out room keys against the names you typed.</t>
        </is>
      </c>
    </row>
    <row r="43">
      <c r="A43" s="50" t="inlineStr">
        <is>
          <t>Two guests in one room?  Put the first name in the 'Guest 1' row and the second in the 'Guest 2' row for that same night. Both rows belong to the same room, so it still counts as one room against NEEDED.</t>
        </is>
      </c>
    </row>
    <row r="44">
      <c r="A44" s="50" t="inlineStr">
        <is>
          <t>Checkout is 12-Dec at 12:30 PM, so 12-Dec needs 0 rooms overnight. Rooms 1-7 are held for the nights of 08, 09, 10 and 11 Dec only.</t>
        </is>
      </c>
    </row>
    <row r="45">
      <c r="A45" s="50" t="inlineStr">
        <is>
          <t>Ask the front desk to release all 7 rooms on 12-Dec at 12:30 PM. Only 2 of the 7 rooms are actually needed on the night of 08-Dec.</t>
        </is>
      </c>
    </row>
  </sheetData>
  <mergeCells count="27">
    <mergeCell ref="A24:B24"/>
    <mergeCell ref="A30:B30"/>
    <mergeCell ref="A4:G4"/>
    <mergeCell ref="A20:G20"/>
    <mergeCell ref="A36:B36"/>
    <mergeCell ref="A29:G29"/>
    <mergeCell ref="A42:G42"/>
    <mergeCell ref="A43:G43"/>
    <mergeCell ref="A44:G44"/>
    <mergeCell ref="A25:B25"/>
    <mergeCell ref="A37:B37"/>
    <mergeCell ref="A27:B27"/>
    <mergeCell ref="A11:G11"/>
    <mergeCell ref="A45:G45"/>
    <mergeCell ref="A26:B26"/>
    <mergeCell ref="A21:B21"/>
    <mergeCell ref="A33:B33"/>
    <mergeCell ref="A32:B32"/>
    <mergeCell ref="A23:B23"/>
    <mergeCell ref="A41:G41"/>
    <mergeCell ref="A22:B22"/>
    <mergeCell ref="A35:B35"/>
    <mergeCell ref="A38:B38"/>
    <mergeCell ref="A28:B28"/>
    <mergeCell ref="A31:B31"/>
    <mergeCell ref="A39:B39"/>
    <mergeCell ref="A34:B34"/>
  </mergeCells>
  <conditionalFormatting sqref="C39:G39">
    <cfRule type="cellIs" priority="1" operator="equal" dxfId="2">
      <formula>"OK"</formula>
    </cfRule>
    <cfRule type="expression" priority="2" dxfId="0">
      <formula>ISNUMBER(SEARCH("need",D30))</formula>
    </cfRule>
    <cfRule type="expression" priority="3" dxfId="1">
      <formula>ISNUMBER(SEARCH("over",D30))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n"/>
      <c r="E4" s="14" t="n"/>
      <c r="F4" s="16" t="inlineStr">
        <is>
          <t>Raviwar Peth, Moti Chowk, Pune 411002</t>
        </is>
      </c>
      <c r="G4" s="16" t="inlineStr">
        <is>
          <t>Baraat</t>
        </is>
      </c>
      <c r="H4" s="14" t="inlineStr">
        <is>
          <t>11-Dec-2026</t>
        </is>
      </c>
      <c r="I4" s="17" t="n">
        <v>41000</v>
      </c>
      <c r="J4" s="17" t="n">
        <v>11000</v>
      </c>
      <c r="K4" s="17">
        <f>IF(I4="","",I4-IF(J4="",0,J4))</f>
        <v/>
      </c>
      <c r="L4" s="14" t="n"/>
      <c r="M4" s="14" t="inlineStr">
        <is>
          <t>Invoice 284</t>
        </is>
      </c>
      <c r="N4" s="18" t="n"/>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n"/>
      <c r="C5" s="22" t="n"/>
      <c r="D5" s="23" t="n"/>
      <c r="E5" s="24" t="n"/>
      <c r="F5" s="25" t="n"/>
      <c r="G5" s="16" t="inlineStr">
        <is>
          <t>Sangeet + Reception</t>
        </is>
      </c>
      <c r="H5" s="14" t="inlineStr">
        <is>
          <t>11-Dec-2026</t>
        </is>
      </c>
      <c r="I5" s="28" t="n"/>
      <c r="J5" s="28" t="n"/>
      <c r="K5" s="17">
        <f>IF(I5="","",I5-IF(J5="",0,J5))</f>
        <v/>
      </c>
      <c r="L5" s="24" t="n"/>
      <c r="M5" s="21" t="n"/>
      <c r="N5" s="30" t="n"/>
      <c r="O5" s="14">
        <f>IF(I5="","Not Quoted",IF(K5&lt;=0,"Paid","Pending"))</f>
        <v/>
      </c>
      <c r="P5" s="25" t="n"/>
      <c r="Q5" s="25" t="n"/>
    </row>
    <row r="6">
      <c r="A6" s="20" t="inlineStr">
        <is>
          <t>Flower Decoration</t>
        </is>
      </c>
      <c r="B6" s="21" t="n"/>
      <c r="C6" s="22" t="n"/>
      <c r="D6" s="23" t="n"/>
      <c r="E6" s="24" t="n"/>
      <c r="F6" s="25" t="n"/>
      <c r="G6" s="26" t="inlineStr">
        <is>
          <t>All events</t>
        </is>
      </c>
      <c r="H6" s="27" t="n"/>
      <c r="I6" s="28" t="n"/>
      <c r="J6" s="28" t="n"/>
      <c r="K6" s="29">
        <f>IF(I6="","",I6-IF(J6="",0,J6))</f>
        <v/>
      </c>
      <c r="L6" s="24" t="n"/>
      <c r="M6" s="21" t="n"/>
      <c r="N6" s="30" t="n"/>
      <c r="O6" s="27">
        <f>IF(I6="","Not Quoted",IF(K6&lt;=0,"Paid","Pending"))</f>
        <v/>
      </c>
      <c r="P6" s="25" t="n"/>
      <c r="Q6" s="25" t="n"/>
    </row>
    <row r="7">
      <c r="A7" s="20" t="inlineStr">
        <is>
          <t>Photography</t>
        </is>
      </c>
      <c r="B7" s="21" t="n"/>
      <c r="C7" s="22" t="n"/>
      <c r="D7" s="23" t="n"/>
      <c r="E7" s="24" t="n"/>
      <c r="F7" s="25" t="n"/>
      <c r="G7" s="26" t="inlineStr">
        <is>
          <t>Wedding</t>
        </is>
      </c>
      <c r="H7" s="27" t="inlineStr">
        <is>
          <t>12-Dec-2026</t>
        </is>
      </c>
      <c r="I7" s="28" t="n"/>
      <c r="J7" s="28" t="n"/>
      <c r="K7" s="29">
        <f>IF(I7="","",I7-IF(J7="",0,J7))</f>
        <v/>
      </c>
      <c r="L7" s="24" t="n"/>
      <c r="M7" s="21" t="n"/>
      <c r="N7" s="30" t="n"/>
      <c r="O7" s="27">
        <f>IF(I7="","Not Quoted",IF(K7&lt;=0,"Paid","Pending"))</f>
        <v/>
      </c>
      <c r="P7" s="25" t="n"/>
      <c r="Q7" s="25" t="n"/>
    </row>
    <row r="8">
      <c r="A8" s="13" t="inlineStr">
        <is>
          <t>Videography</t>
        </is>
      </c>
      <c r="B8" s="21" t="n"/>
      <c r="C8" s="22" t="n"/>
      <c r="D8" s="23" t="n"/>
      <c r="E8" s="24" t="n"/>
      <c r="F8" s="25" t="n"/>
      <c r="G8" s="16" t="inlineStr">
        <is>
          <t>Wedding</t>
        </is>
      </c>
      <c r="H8" s="14" t="inlineStr">
        <is>
          <t>12-Dec-2026</t>
        </is>
      </c>
      <c r="I8" s="28" t="n"/>
      <c r="J8" s="28" t="n"/>
      <c r="K8" s="17">
        <f>IF(I8="","",I8-IF(J8="",0,J8))</f>
        <v/>
      </c>
      <c r="L8" s="24" t="n"/>
      <c r="M8" s="21" t="n"/>
      <c r="N8" s="30" t="n"/>
      <c r="O8" s="14">
        <f>IF(I8="","Not Quoted",IF(K8&lt;=0,"Paid","Pending"))</f>
        <v/>
      </c>
      <c r="P8" s="25" t="n"/>
      <c r="Q8" s="25" t="n"/>
    </row>
    <row r="9">
      <c r="A9" s="20" t="inlineStr">
        <is>
          <t>Catering (Food)</t>
        </is>
      </c>
      <c r="B9" s="21" t="n"/>
      <c r="C9" s="22" t="n"/>
      <c r="D9" s="23" t="n"/>
      <c r="E9" s="24" t="n"/>
      <c r="F9" s="25" t="n"/>
      <c r="G9" s="26" t="inlineStr">
        <is>
          <t>Sangeet, Reception, Brunch</t>
        </is>
      </c>
      <c r="H9" s="27" t="inlineStr">
        <is>
          <t>11-Dec-2026</t>
        </is>
      </c>
      <c r="I9" s="28" t="n"/>
      <c r="J9" s="28" t="n"/>
      <c r="K9" s="29">
        <f>IF(I9="","",I9-IF(J9="",0,J9))</f>
        <v/>
      </c>
      <c r="L9" s="24" t="n"/>
      <c r="M9" s="21" t="n"/>
      <c r="N9" s="30" t="n"/>
      <c r="O9" s="27">
        <f>IF(I9="","Not Quoted",IF(K9&lt;=0,"Paid","Pending"))</f>
        <v/>
      </c>
      <c r="P9" s="25" t="n"/>
      <c r="Q9" s="25" t="n"/>
    </row>
    <row r="10">
      <c r="A10" s="13" t="inlineStr">
        <is>
          <t>Pandit / Purohit</t>
        </is>
      </c>
      <c r="B10" s="21" t="n"/>
      <c r="C10" s="22" t="n"/>
      <c r="D10" s="23" t="n"/>
      <c r="E10" s="24" t="n"/>
      <c r="F10" s="25" t="n"/>
      <c r="G10" s="16" t="inlineStr">
        <is>
          <t>Wedding Ceremony</t>
        </is>
      </c>
      <c r="H10" s="14" t="inlineStr">
        <is>
          <t>12-Dec-2026</t>
        </is>
      </c>
      <c r="I10" s="28" t="n"/>
      <c r="J10" s="28" t="n"/>
      <c r="K10" s="17">
        <f>IF(I10="","",I10-IF(J10="",0,J10))</f>
        <v/>
      </c>
      <c r="L10" s="24" t="n"/>
      <c r="M10" s="21" t="n"/>
      <c r="N10" s="30" t="n"/>
      <c r="O10" s="14">
        <f>IF(I10="","Not Quoted",IF(K10&lt;=0,"Paid","Pending"))</f>
        <v/>
      </c>
      <c r="P10" s="25" t="n"/>
      <c r="Q10" s="25" t="n"/>
    </row>
    <row r="11">
      <c r="A11" s="20" t="inlineStr">
        <is>
          <t>Makeup &amp; Mehendi</t>
        </is>
      </c>
      <c r="B11" s="21" t="n"/>
      <c r="C11" s="22" t="n"/>
      <c r="D11" s="23" t="n"/>
      <c r="E11" s="24" t="n"/>
      <c r="F11" s="25" t="n"/>
      <c r="G11" s="26" t="inlineStr">
        <is>
          <t>Mehendi</t>
        </is>
      </c>
      <c r="H11" s="27" t="inlineStr">
        <is>
          <t>10-Dec-2026</t>
        </is>
      </c>
      <c r="I11" s="28" t="n"/>
      <c r="J11" s="28" t="n"/>
      <c r="K11" s="29">
        <f>IF(I11="","",I11-IF(J11="",0,J11))</f>
        <v/>
      </c>
      <c r="L11" s="24" t="n"/>
      <c r="M11" s="21" t="n"/>
      <c r="N11" s="30" t="n"/>
      <c r="O11" s="27">
        <f>IF(I11="","Not Quoted",IF(K11&lt;=0,"Paid","Pending"))</f>
        <v/>
      </c>
      <c r="P11" s="25" t="n"/>
      <c r="Q11" s="25" t="n"/>
    </row>
    <row r="12">
      <c r="A12" s="13" t="inlineStr">
        <is>
          <t>Stage &amp; Seating</t>
        </is>
      </c>
      <c r="B12" s="21" t="n"/>
      <c r="C12" s="22" t="n"/>
      <c r="D12" s="23" t="n"/>
      <c r="E12" s="24" t="n"/>
      <c r="F12" s="25" t="n"/>
      <c r="G12" s="16" t="inlineStr">
        <is>
          <t>Sangeet + Wedding</t>
        </is>
      </c>
      <c r="H12" s="14" t="inlineStr">
        <is>
          <t>11-Dec-2026</t>
        </is>
      </c>
      <c r="I12" s="28" t="n"/>
      <c r="J12" s="28" t="n"/>
      <c r="K12" s="17">
        <f>IF(I12="","",I12-IF(J12="",0,J12))</f>
        <v/>
      </c>
      <c r="L12" s="24" t="n"/>
      <c r="M12" s="21" t="n"/>
      <c r="N12" s="30" t="n"/>
      <c r="O12" s="14">
        <f>IF(I12="","Not Quoted",IF(K12&lt;=0,"Paid","Pending"))</f>
        <v/>
      </c>
      <c r="P12" s="25" t="n"/>
      <c r="Q12" s="25" t="n"/>
    </row>
    <row r="13">
      <c r="A13" s="20" t="inlineStr">
        <is>
          <t>Transport / Cars</t>
        </is>
      </c>
      <c r="B13" s="21" t="n"/>
      <c r="C13" s="22" t="n"/>
      <c r="D13" s="23" t="n"/>
      <c r="E13" s="24" t="n"/>
      <c r="F13" s="25" t="n"/>
      <c r="G13" s="26" t="inlineStr">
        <is>
          <t>Baraat</t>
        </is>
      </c>
      <c r="H13" s="27" t="inlineStr">
        <is>
          <t>12-Dec-2026</t>
        </is>
      </c>
      <c r="I13" s="28" t="n"/>
      <c r="J13" s="28" t="n"/>
      <c r="K13" s="29">
        <f>IF(I13="","",I13-IF(J13="",0,J13))</f>
        <v/>
      </c>
      <c r="L13" s="24" t="n"/>
      <c r="M13" s="21" t="n"/>
      <c r="N13" s="30" t="n"/>
      <c r="O13" s="27">
        <f>IF(I13="","Not Quoted",IF(K13&lt;=0,"Paid","Pending"))</f>
        <v/>
      </c>
      <c r="P13" s="25" t="n"/>
      <c r="Q13" s="25" t="n"/>
    </row>
    <row r="14">
      <c r="A14" s="13" t="inlineStr">
        <is>
          <t>Return Gifts / Favours</t>
        </is>
      </c>
      <c r="B14" s="21" t="n"/>
      <c r="C14" s="22" t="n"/>
      <c r="D14" s="23" t="n"/>
      <c r="E14" s="24" t="n"/>
      <c r="F14" s="25" t="n"/>
      <c r="G14" s="16" t="inlineStr">
        <is>
          <t>Reception</t>
        </is>
      </c>
      <c r="H14" s="14" t="inlineStr">
        <is>
          <t>12-Dec-2026</t>
        </is>
      </c>
      <c r="I14" s="28" t="n"/>
      <c r="J14" s="28" t="n"/>
      <c r="K14" s="17">
        <f>IF(I14="","",I14-IF(J14="",0,J14))</f>
        <v/>
      </c>
      <c r="L14" s="24" t="n"/>
      <c r="M14" s="21" t="n"/>
      <c r="N14" s="30" t="n"/>
      <c r="O14" s="14">
        <f>IF(I14="","Not Quoted",IF(K14&lt;=0,"Paid","Pending"))</f>
        <v/>
      </c>
      <c r="P14" s="25" t="n"/>
      <c r="Q14" s="25" t="n"/>
    </row>
    <row r="15">
      <c r="A15" s="20" t="inlineStr">
        <is>
          <t>Haldi &amp; Mehendi Items</t>
        </is>
      </c>
      <c r="B15" s="21" t="n"/>
      <c r="C15" s="22" t="n"/>
      <c r="D15" s="23" t="n"/>
      <c r="E15" s="24" t="n"/>
      <c r="F15" s="25" t="n"/>
      <c r="G15" s="26" t="inlineStr">
        <is>
          <t>Haldi</t>
        </is>
      </c>
      <c r="H15" s="27" t="inlineStr">
        <is>
          <t>11-Dec-2026</t>
        </is>
      </c>
      <c r="I15" s="28" t="n"/>
      <c r="J15" s="28" t="n"/>
      <c r="K15" s="29">
        <f>IF(I15="","",I15-IF(J15="",0,J15))</f>
        <v/>
      </c>
      <c r="L15" s="24" t="n"/>
      <c r="M15" s="21" t="n"/>
      <c r="N15" s="30" t="n"/>
      <c r="O15" s="27">
        <f>IF(I15="","Not Quoted",IF(K15&lt;=0,"Paid","Pending"))</f>
        <v/>
      </c>
      <c r="P15" s="25" t="n"/>
      <c r="Q15" s="25" t="n"/>
    </row>
    <row r="16">
      <c r="A16" s="13" t="inlineStr">
        <is>
          <t>Sangeet Anchoring / Choreography</t>
        </is>
      </c>
      <c r="B16" s="21" t="n"/>
      <c r="C16" s="22" t="n"/>
      <c r="D16" s="23" t="n"/>
      <c r="E16" s="24" t="n"/>
      <c r="F16" s="25" t="n"/>
      <c r="G16" s="16" t="inlineStr">
        <is>
          <t>Sangeet Night</t>
        </is>
      </c>
      <c r="H16" s="14" t="inlineStr">
        <is>
          <t>11-Dec-2026</t>
        </is>
      </c>
      <c r="I16" s="28" t="n"/>
      <c r="J16" s="28" t="n"/>
      <c r="K16" s="17">
        <f>IF(I16="","",I16-IF(J16="",0,J16))</f>
        <v/>
      </c>
      <c r="L16" s="24" t="n"/>
      <c r="M16" s="21" t="n"/>
      <c r="N16" s="30" t="n"/>
      <c r="O16" s="14">
        <f>IF(I16="","Not Quoted",IF(K16&lt;=0,"Paid","Pending"))</f>
        <v/>
      </c>
      <c r="P16" s="25" t="n"/>
      <c r="Q16" s="25" t="n"/>
    </row>
    <row r="17">
      <c r="A17" s="13" t="inlineStr">
        <is>
          <t>Other / Miscellaneous</t>
        </is>
      </c>
      <c r="B17" s="21" t="n"/>
      <c r="C17" s="22" t="n"/>
      <c r="D17" s="23" t="n"/>
      <c r="E17" s="24" t="n"/>
      <c r="F17" s="25" t="n"/>
      <c r="G17" s="16" t="n"/>
      <c r="H17" s="14" t="n"/>
      <c r="I17" s="28" t="n"/>
      <c r="J17" s="28" t="n"/>
      <c r="K17" s="17">
        <f>IF(I17="","",I17-IF(J17="",0,J17))</f>
        <v/>
      </c>
      <c r="L17" s="24" t="n"/>
      <c r="M17" s="21" t="n"/>
      <c r="N17" s="30" t="n"/>
      <c r="O17" s="14">
        <f>IF(I17="","Not Quoted",IF(K17&lt;=0,"Paid","Pending"))</f>
        <v/>
      </c>
      <c r="P17" s="25" t="n"/>
      <c r="Q17" s="25" t="n"/>
    </row>
    <row r="18" ht="75" customHeight="1" s="49">
      <c r="A18" s="38" t="inlineStr">
        <is>
          <t>Hotel - Nirmal's Executive</t>
        </is>
      </c>
      <c r="B18" s="21" t="inlineStr">
        <is>
          <t>Nirmal Reception</t>
        </is>
      </c>
      <c r="C18" s="39" t="inlineStr">
        <is>
          <t>+91 93091 74167</t>
        </is>
      </c>
      <c r="D18" s="57" t="inlineStr">
        <is>
          <t>‪+91 93091 74167‬</t>
        </is>
      </c>
      <c r="E18" s="24" t="n"/>
      <c r="F18" s="40" t="inlineStr">
        <is>
          <t>Sr No 40,2, Classic Gloria, near Angraj Dhaba, Yewalewadi, Sinhgad Kondwa, Danny Mehata Nagar, Kondhwa Budruk, Pune, Maharashtra 411048, India</t>
        </is>
      </c>
      <c r="G18" s="41" t="inlineStr">
        <is>
          <t>Accommodation 08-14 Dec</t>
        </is>
      </c>
      <c r="H18" s="16" t="n"/>
      <c r="I18" s="14" t="n">
        <v>84000</v>
      </c>
      <c r="J18" s="17" t="n">
        <v>25000</v>
      </c>
      <c r="K18" s="17">
        <f>IF(I18="","",I18-IF(J18="",0,J18))</f>
        <v/>
      </c>
      <c r="L18" s="17" t="n"/>
      <c r="M18" s="14" t="n"/>
      <c r="N18" s="14" t="n"/>
      <c r="O18" s="18">
        <f>IF(I18="","Not Quoted",IF(K18&lt;=0,"Paid","Pending"))</f>
        <v/>
      </c>
      <c r="P18" s="16" t="n"/>
      <c r="Q18" s="46" t="n"/>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2026-09-28T14:26:10Z</dcterms:created>
  <dcterms:modified xmlns:dcterms="http://purl.org/dc/terms/" xmlns:xsi="http://www.w3.org/2001/XMLSchema-instance" xsi:type="dcterms:W3CDTF">2026-09-28T15:31:24Z</dcterms:modified>
  <cp:lastModifiedBy>Suraj Singh</cp:lastModifiedBy>
</cp:coreProperties>
</file>